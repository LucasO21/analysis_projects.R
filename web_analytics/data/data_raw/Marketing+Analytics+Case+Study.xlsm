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achataLu/Downloads/"/>
    </mc:Choice>
  </mc:AlternateContent>
  <xr:revisionPtr revIDLastSave="0" documentId="13_ncr:1_{4A9A2968-2CFD-FC45-A122-A635619C61B1}" xr6:coauthVersionLast="47" xr6:coauthVersionMax="47" xr10:uidLastSave="{00000000-0000-0000-0000-000000000000}"/>
  <bookViews>
    <workbookView xWindow="-31640" yWindow="460" windowWidth="14360" windowHeight="7760" tabRatio="788" activeTab="9" xr2:uid="{00000000-000D-0000-FFFF-FFFF00000000}"/>
  </bookViews>
  <sheets>
    <sheet name="PPC Data" sheetId="44" r:id="rId1"/>
    <sheet name="1.1 PPC Analyis" sheetId="35" r:id="rId2"/>
    <sheet name="Lead Data" sheetId="36" r:id="rId3"/>
    <sheet name="Survey Data" sheetId="50" r:id="rId4"/>
    <sheet name="1.2 Customer Analysis" sheetId="51" r:id="rId5"/>
    <sheet name="1.3 NPS" sheetId="49" r:id="rId6"/>
    <sheet name="1.4 Survey Analysis" sheetId="52" r:id="rId7"/>
    <sheet name="1.5 Ad Channel Data" sheetId="54" r:id="rId8"/>
    <sheet name="1.5 Projections" sheetId="53" r:id="rId9"/>
    <sheet name="Dashboard" sheetId="56" r:id="rId10"/>
  </sheets>
  <definedNames>
    <definedName name="_xlnm._FilterDatabase" localSheetId="7" hidden="1">'1.5 Ad Channel Data'!$B$5:$G$9</definedName>
    <definedName name="_xlnm._FilterDatabase" localSheetId="2" hidden="1">'Lead Data'!$B$5:$L$781</definedName>
    <definedName name="_xlnm._FilterDatabase" localSheetId="0" hidden="1">'PPC Data'!$B$5:$O$5</definedName>
    <definedName name="_xlnm._FilterDatabase" localSheetId="3" hidden="1">'Survey Data'!$B$5:$H$197</definedName>
    <definedName name="Age">'Survey Data'!$C$6:$C$197</definedName>
    <definedName name="AW_Campaign">'PPC Data'!$C:$C</definedName>
    <definedName name="AW_Clicks">'PPC Data'!$E:$E</definedName>
    <definedName name="AW_Conversions">'PPC Data'!$H:$H</definedName>
    <definedName name="AW_Cost">'PPC Data'!$F:$F</definedName>
    <definedName name="AW_Impressions">'PPC Data'!$D:$D</definedName>
    <definedName name="FB_Campaign">'PPC Data'!$J:$J</definedName>
    <definedName name="FB_Clicks">'PPC Data'!$L:$L</definedName>
    <definedName name="FB_Conversions">'PPC Data'!$O:$O</definedName>
    <definedName name="FB_Cost">'PPC Data'!$M:$M</definedName>
    <definedName name="FB_Impressions">'PPC Data'!$K:$K</definedName>
    <definedName name="Lead_Source">'Lead Data'!$C:$C</definedName>
    <definedName name="Promoter_Score">'Survey Data'!$E:$E</definedName>
    <definedName name="Purchases">'Lead Data'!$L:$L</definedName>
    <definedName name="Scenario">'1.5 Projections'!$C$15</definedName>
    <definedName name="Survey_Lead_Source">'Survey Data'!$B$6:$B$197</definedName>
    <definedName name="Touch_Pts">'Lead Data'!#REF!</definedName>
    <definedName name="Trans_Time">'Lead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51" l="1"/>
  <c r="E37" i="51"/>
  <c r="F37" i="51"/>
  <c r="D8" i="50"/>
  <c r="D15" i="50"/>
  <c r="D17" i="50"/>
  <c r="D18" i="50"/>
  <c r="D20" i="50"/>
  <c r="D23" i="50"/>
  <c r="D25" i="50"/>
  <c r="D96" i="50"/>
  <c r="D98" i="50"/>
  <c r="D112" i="50"/>
  <c r="D115" i="50"/>
  <c r="D120" i="50"/>
  <c r="D135" i="50"/>
  <c r="D30" i="35"/>
  <c r="E30" i="35"/>
  <c r="F30" i="35"/>
  <c r="J30" i="35"/>
  <c r="K30" i="35"/>
  <c r="L30" i="35"/>
  <c r="H48" i="56" l="1"/>
  <c r="G48" i="56"/>
  <c r="F48" i="56"/>
  <c r="E48" i="56"/>
  <c r="D48" i="56"/>
  <c r="H47" i="56"/>
  <c r="G47" i="56"/>
  <c r="F47" i="56"/>
  <c r="E47" i="56"/>
  <c r="D47" i="56"/>
  <c r="H46" i="56"/>
  <c r="G46" i="56"/>
  <c r="F46" i="56"/>
  <c r="E46" i="56"/>
  <c r="D46" i="56"/>
  <c r="C46" i="56"/>
  <c r="H45" i="56"/>
  <c r="G45" i="56"/>
  <c r="F45" i="56"/>
  <c r="E45" i="56"/>
  <c r="D45" i="56"/>
  <c r="H44" i="56"/>
  <c r="G44" i="56"/>
  <c r="F44" i="56"/>
  <c r="E44" i="56"/>
  <c r="D44" i="56"/>
  <c r="F43" i="56"/>
  <c r="D42" i="56"/>
  <c r="B44" i="56"/>
  <c r="B41" i="56"/>
  <c r="B32" i="56"/>
  <c r="D33" i="56"/>
  <c r="H39" i="56"/>
  <c r="G39" i="56"/>
  <c r="F39" i="56"/>
  <c r="E39" i="56"/>
  <c r="D39" i="56"/>
  <c r="H38" i="56"/>
  <c r="G38" i="56"/>
  <c r="F38" i="56"/>
  <c r="E38" i="56"/>
  <c r="D38" i="56"/>
  <c r="H37" i="56"/>
  <c r="G37" i="56"/>
  <c r="F37" i="56"/>
  <c r="E37" i="56"/>
  <c r="D37" i="56"/>
  <c r="C37" i="56"/>
  <c r="H36" i="56"/>
  <c r="G36" i="56"/>
  <c r="F36" i="56"/>
  <c r="E36" i="56"/>
  <c r="D36" i="56"/>
  <c r="H35" i="56"/>
  <c r="G35" i="56"/>
  <c r="F35" i="56"/>
  <c r="E35" i="56"/>
  <c r="D35" i="56"/>
  <c r="F34" i="56"/>
  <c r="B35" i="56"/>
  <c r="G28" i="56"/>
  <c r="F28" i="56"/>
  <c r="E28" i="56"/>
  <c r="D28" i="56"/>
  <c r="G27" i="56"/>
  <c r="F27" i="56"/>
  <c r="E27" i="56"/>
  <c r="D27" i="56"/>
  <c r="L7" i="54"/>
  <c r="E15" i="56"/>
  <c r="D15" i="56"/>
  <c r="E9" i="56"/>
  <c r="D9" i="56"/>
  <c r="E8" i="56"/>
  <c r="D8" i="56"/>
  <c r="E7" i="56"/>
  <c r="D7" i="56"/>
  <c r="J27" i="53"/>
  <c r="D40" i="53"/>
  <c r="J26" i="53"/>
  <c r="D39" i="53"/>
  <c r="C153" i="53"/>
  <c r="C151" i="53"/>
  <c r="C45" i="56" s="1"/>
  <c r="G149" i="53"/>
  <c r="H149" i="53" s="1"/>
  <c r="H43" i="56" s="1"/>
  <c r="E149" i="53"/>
  <c r="G140" i="53"/>
  <c r="E140" i="53"/>
  <c r="D140" i="53" s="1"/>
  <c r="D34" i="56" s="1"/>
  <c r="C144" i="53"/>
  <c r="C38" i="56" s="1"/>
  <c r="C142" i="53"/>
  <c r="C40" i="53"/>
  <c r="C39" i="53"/>
  <c r="C56" i="53"/>
  <c r="C105" i="53" s="1"/>
  <c r="D48" i="53"/>
  <c r="E48" i="53" s="1"/>
  <c r="C96" i="53"/>
  <c r="C90" i="53"/>
  <c r="C78" i="53"/>
  <c r="C72" i="53"/>
  <c r="D43" i="53"/>
  <c r="D42" i="53"/>
  <c r="D41" i="53"/>
  <c r="B43" i="53"/>
  <c r="B93" i="53" s="1"/>
  <c r="B42" i="53"/>
  <c r="B87" i="53" s="1"/>
  <c r="B41" i="53"/>
  <c r="B81" i="53" s="1"/>
  <c r="AA110" i="53"/>
  <c r="Z110" i="53"/>
  <c r="Y110" i="53"/>
  <c r="X110" i="53"/>
  <c r="W110" i="53"/>
  <c r="V110" i="53"/>
  <c r="U110" i="53"/>
  <c r="T110" i="53"/>
  <c r="S110" i="53"/>
  <c r="R110" i="53"/>
  <c r="Q110" i="53"/>
  <c r="P110" i="53"/>
  <c r="O110" i="53"/>
  <c r="N110" i="53"/>
  <c r="M110" i="53"/>
  <c r="L110" i="53"/>
  <c r="K110" i="53"/>
  <c r="J110" i="53"/>
  <c r="I110" i="53"/>
  <c r="H110" i="53"/>
  <c r="G110" i="53"/>
  <c r="F110" i="53"/>
  <c r="E110" i="53"/>
  <c r="D110" i="53"/>
  <c r="C110" i="53"/>
  <c r="D94" i="53"/>
  <c r="F18" i="54"/>
  <c r="E18" i="54"/>
  <c r="F15" i="54"/>
  <c r="E15" i="54"/>
  <c r="F14" i="54"/>
  <c r="F27" i="54" s="1"/>
  <c r="E14" i="54"/>
  <c r="E27" i="54" s="1"/>
  <c r="D14" i="54"/>
  <c r="D27" i="54" s="1"/>
  <c r="C14" i="54"/>
  <c r="C27" i="54" s="1"/>
  <c r="B27" i="53"/>
  <c r="B40" i="53" s="1"/>
  <c r="B75" i="53" s="1"/>
  <c r="B23" i="56"/>
  <c r="B26" i="53"/>
  <c r="B39" i="53" s="1"/>
  <c r="B69" i="53" s="1"/>
  <c r="B25" i="53"/>
  <c r="B21" i="56"/>
  <c r="B24" i="53"/>
  <c r="B106" i="53" s="1"/>
  <c r="AA111" i="53"/>
  <c r="Z111" i="53"/>
  <c r="Y111" i="53"/>
  <c r="X111" i="53"/>
  <c r="W111" i="53"/>
  <c r="V111" i="53"/>
  <c r="U111" i="53"/>
  <c r="T111" i="53"/>
  <c r="S111" i="53"/>
  <c r="R111" i="53"/>
  <c r="Q111" i="53"/>
  <c r="P111" i="53"/>
  <c r="O111" i="53"/>
  <c r="N111" i="53"/>
  <c r="M111" i="53"/>
  <c r="L111" i="53"/>
  <c r="K111" i="53"/>
  <c r="J111" i="53"/>
  <c r="I111" i="53"/>
  <c r="H111" i="53"/>
  <c r="G111" i="53"/>
  <c r="F111" i="53"/>
  <c r="E111" i="53"/>
  <c r="D111" i="53"/>
  <c r="C111" i="53"/>
  <c r="AA109" i="53"/>
  <c r="Z109" i="53"/>
  <c r="Y109" i="53"/>
  <c r="X109" i="53"/>
  <c r="W109" i="53"/>
  <c r="V109" i="53"/>
  <c r="U109" i="53"/>
  <c r="T109" i="53"/>
  <c r="S109" i="53"/>
  <c r="R109" i="53"/>
  <c r="Q109" i="53"/>
  <c r="P109" i="53"/>
  <c r="O109" i="53"/>
  <c r="N109" i="53"/>
  <c r="M109" i="53"/>
  <c r="L109" i="53"/>
  <c r="K109" i="53"/>
  <c r="J109" i="53"/>
  <c r="I109" i="53"/>
  <c r="H109" i="53"/>
  <c r="G109" i="53"/>
  <c r="F109" i="53"/>
  <c r="E109" i="53"/>
  <c r="D109" i="53"/>
  <c r="AA108" i="53"/>
  <c r="Z108" i="53"/>
  <c r="Y108" i="53"/>
  <c r="X108" i="53"/>
  <c r="W108" i="53"/>
  <c r="V108" i="53"/>
  <c r="U108" i="53"/>
  <c r="T108" i="53"/>
  <c r="S108" i="53"/>
  <c r="R108" i="53"/>
  <c r="Q108" i="53"/>
  <c r="P108" i="53"/>
  <c r="O108" i="53"/>
  <c r="N108" i="53"/>
  <c r="M108" i="53"/>
  <c r="L108" i="53"/>
  <c r="K108" i="53"/>
  <c r="J108" i="53"/>
  <c r="I108" i="53"/>
  <c r="H108" i="53"/>
  <c r="G108" i="53"/>
  <c r="F108" i="53"/>
  <c r="E108" i="53"/>
  <c r="D108" i="53"/>
  <c r="AA107" i="53"/>
  <c r="Z107" i="53"/>
  <c r="Y107" i="53"/>
  <c r="X107" i="53"/>
  <c r="W107" i="53"/>
  <c r="V107" i="53"/>
  <c r="U107" i="53"/>
  <c r="T107" i="53"/>
  <c r="S107" i="53"/>
  <c r="R107" i="53"/>
  <c r="Q107" i="53"/>
  <c r="P107" i="53"/>
  <c r="O107" i="53"/>
  <c r="N107" i="53"/>
  <c r="M107" i="53"/>
  <c r="L107" i="53"/>
  <c r="K107" i="53"/>
  <c r="J107" i="53"/>
  <c r="I107" i="53"/>
  <c r="H107" i="53"/>
  <c r="G107" i="53"/>
  <c r="F107" i="53"/>
  <c r="E107" i="53"/>
  <c r="D107" i="53"/>
  <c r="AA106" i="53"/>
  <c r="Z106" i="53"/>
  <c r="Y106" i="53"/>
  <c r="X106" i="53"/>
  <c r="W106" i="53"/>
  <c r="V106" i="53"/>
  <c r="U106" i="53"/>
  <c r="T106" i="53"/>
  <c r="S106" i="53"/>
  <c r="R106" i="53"/>
  <c r="Q106" i="53"/>
  <c r="P106" i="53"/>
  <c r="O106" i="53"/>
  <c r="N106" i="53"/>
  <c r="M106" i="53"/>
  <c r="L106" i="53"/>
  <c r="K106" i="53"/>
  <c r="J106" i="53"/>
  <c r="I106" i="53"/>
  <c r="H106" i="53"/>
  <c r="G106" i="53"/>
  <c r="F106" i="53"/>
  <c r="E106" i="53"/>
  <c r="D106" i="53"/>
  <c r="C109" i="53"/>
  <c r="C108" i="53"/>
  <c r="C107" i="53"/>
  <c r="C106" i="53"/>
  <c r="F28" i="54"/>
  <c r="E28" i="54"/>
  <c r="D28" i="54"/>
  <c r="F19" i="54"/>
  <c r="E19" i="54"/>
  <c r="D19" i="54"/>
  <c r="F16" i="54"/>
  <c r="E16" i="54"/>
  <c r="D16" i="54"/>
  <c r="E31" i="54"/>
  <c r="E21" i="54"/>
  <c r="E29" i="54"/>
  <c r="K8" i="50"/>
  <c r="G43" i="56"/>
  <c r="E34" i="56"/>
  <c r="C150" i="53"/>
  <c r="C44" i="56" s="1"/>
  <c r="H140" i="53"/>
  <c r="H34" i="56"/>
  <c r="G34" i="56"/>
  <c r="C154" i="53"/>
  <c r="C48" i="56"/>
  <c r="C47" i="56"/>
  <c r="C141" i="53"/>
  <c r="C35" i="56" s="1"/>
  <c r="C36" i="56"/>
  <c r="D149" i="53"/>
  <c r="D43" i="56" s="1"/>
  <c r="E43" i="56"/>
  <c r="B22" i="56"/>
  <c r="K9" i="50"/>
  <c r="K10" i="50" s="1"/>
  <c r="K11" i="50" s="1"/>
  <c r="K12" i="50" s="1"/>
  <c r="K13" i="50" s="1"/>
  <c r="K14" i="50" s="1"/>
  <c r="K15" i="50" s="1"/>
  <c r="K16" i="50" s="1"/>
  <c r="K17" i="50" s="1"/>
  <c r="K18" i="50" s="1"/>
  <c r="K19" i="50" s="1"/>
  <c r="K20" i="50" s="1"/>
  <c r="K21" i="50" s="1"/>
  <c r="K22" i="50" s="1"/>
  <c r="K23" i="50" s="1"/>
  <c r="K24" i="50" s="1"/>
  <c r="K25" i="50" s="1"/>
  <c r="K26" i="50" s="1"/>
  <c r="K27" i="50" s="1"/>
  <c r="K28" i="50" s="1"/>
  <c r="K29" i="50" s="1"/>
  <c r="K30" i="50" s="1"/>
  <c r="K31" i="50" s="1"/>
  <c r="K32" i="50" s="1"/>
  <c r="K33" i="50" s="1"/>
  <c r="K34" i="50" s="1"/>
  <c r="K35" i="50" s="1"/>
  <c r="K36" i="50" s="1"/>
  <c r="K37" i="50" s="1"/>
  <c r="K38" i="50" s="1"/>
  <c r="K39" i="50" s="1"/>
  <c r="K40" i="50" s="1"/>
  <c r="K41" i="50" s="1"/>
  <c r="K42" i="50" s="1"/>
  <c r="K43" i="50" s="1"/>
  <c r="K44" i="50" s="1"/>
  <c r="K45" i="50" s="1"/>
  <c r="K46" i="50" s="1"/>
  <c r="K47" i="50" s="1"/>
  <c r="K48" i="50" s="1"/>
  <c r="K49" i="50" s="1"/>
  <c r="K50" i="50" s="1"/>
  <c r="K51" i="50" s="1"/>
  <c r="C79" i="53"/>
  <c r="C73" i="53"/>
  <c r="C42" i="53"/>
  <c r="C43" i="53"/>
  <c r="B38" i="53"/>
  <c r="B63" i="53" s="1"/>
  <c r="B37" i="53"/>
  <c r="D26" i="53"/>
  <c r="F26" i="53"/>
  <c r="B49" i="53"/>
  <c r="B50" i="53"/>
  <c r="B51" i="53"/>
  <c r="B107" i="53"/>
  <c r="F21" i="54"/>
  <c r="H7" i="54"/>
  <c r="D21" i="54" s="1"/>
  <c r="H6" i="54"/>
  <c r="F31" i="54"/>
  <c r="F27" i="53"/>
  <c r="D31" i="51"/>
  <c r="D33" i="51" s="1"/>
  <c r="E31" i="51"/>
  <c r="D14" i="56"/>
  <c r="E14" i="56"/>
  <c r="F35" i="51"/>
  <c r="E35" i="51"/>
  <c r="F32" i="51"/>
  <c r="E32" i="51"/>
  <c r="L6" i="54"/>
  <c r="J24" i="53" s="1"/>
  <c r="D37" i="53" s="1"/>
  <c r="F29" i="54"/>
  <c r="D27" i="53"/>
  <c r="F31" i="51"/>
  <c r="K7" i="54"/>
  <c r="D15" i="54" s="1"/>
  <c r="C41" i="53"/>
  <c r="E11" i="56"/>
  <c r="C7" i="54"/>
  <c r="F7" i="54"/>
  <c r="D6" i="54"/>
  <c r="D17" i="35"/>
  <c r="C6" i="54"/>
  <c r="D7" i="54"/>
  <c r="F6" i="54"/>
  <c r="D15" i="35"/>
  <c r="D16" i="35"/>
  <c r="D18" i="35"/>
  <c r="F46" i="35"/>
  <c r="F44" i="35"/>
  <c r="D24" i="53"/>
  <c r="D46" i="35"/>
  <c r="E46" i="35"/>
  <c r="E44" i="35"/>
  <c r="D10" i="56" s="1"/>
  <c r="D44" i="35"/>
  <c r="E10" i="56"/>
  <c r="D29" i="54"/>
  <c r="D25" i="53"/>
  <c r="C29" i="54"/>
  <c r="F48" i="53" l="1"/>
  <c r="E56" i="53"/>
  <c r="E105" i="53" s="1"/>
  <c r="B109" i="53"/>
  <c r="C97" i="53"/>
  <c r="C91" i="53"/>
  <c r="T112" i="53"/>
  <c r="D56" i="53"/>
  <c r="D105" i="53" s="1"/>
  <c r="P112" i="53"/>
  <c r="B108" i="53"/>
  <c r="C145" i="53"/>
  <c r="C39" i="56" s="1"/>
  <c r="D7" i="50"/>
  <c r="D11" i="50"/>
  <c r="D19" i="50"/>
  <c r="D27" i="50"/>
  <c r="D31" i="50"/>
  <c r="D35" i="50"/>
  <c r="D39" i="50"/>
  <c r="D43" i="50"/>
  <c r="D47" i="50"/>
  <c r="D51" i="50"/>
  <c r="D55" i="50"/>
  <c r="D59" i="50"/>
  <c r="D63" i="50"/>
  <c r="D67" i="50"/>
  <c r="D71" i="50"/>
  <c r="D75" i="50"/>
  <c r="D79" i="50"/>
  <c r="D83" i="50"/>
  <c r="D87" i="50"/>
  <c r="D91" i="50"/>
  <c r="D95" i="50"/>
  <c r="D99" i="50"/>
  <c r="D103" i="50"/>
  <c r="D107" i="50"/>
  <c r="D111" i="50"/>
  <c r="D119" i="50"/>
  <c r="D123" i="50"/>
  <c r="D127" i="50"/>
  <c r="D131" i="50"/>
  <c r="D139" i="50"/>
  <c r="D143" i="50"/>
  <c r="D147" i="50"/>
  <c r="D151" i="50"/>
  <c r="D155" i="50"/>
  <c r="D159" i="50"/>
  <c r="D163" i="50"/>
  <c r="D167" i="50"/>
  <c r="D171" i="50"/>
  <c r="D175" i="50"/>
  <c r="D179" i="50"/>
  <c r="D183" i="50"/>
  <c r="D187" i="50"/>
  <c r="D191" i="50"/>
  <c r="D195" i="50"/>
  <c r="D9" i="50"/>
  <c r="D29" i="50"/>
  <c r="D33" i="50"/>
  <c r="D41" i="50"/>
  <c r="D49" i="50"/>
  <c r="D57" i="50"/>
  <c r="D65" i="50"/>
  <c r="D73" i="50"/>
  <c r="D81" i="50"/>
  <c r="D89" i="50"/>
  <c r="D101" i="50"/>
  <c r="D109" i="50"/>
  <c r="D117" i="50"/>
  <c r="D125" i="50"/>
  <c r="D133" i="50"/>
  <c r="D141" i="50"/>
  <c r="D149" i="50"/>
  <c r="D157" i="50"/>
  <c r="D165" i="50"/>
  <c r="D173" i="50"/>
  <c r="D181" i="50"/>
  <c r="D189" i="50"/>
  <c r="D197" i="50"/>
  <c r="D6" i="50"/>
  <c r="D14" i="50"/>
  <c r="D22" i="50"/>
  <c r="D30" i="50"/>
  <c r="D38" i="50"/>
  <c r="D46" i="50"/>
  <c r="D54" i="50"/>
  <c r="D62" i="50"/>
  <c r="D70" i="50"/>
  <c r="D78" i="50"/>
  <c r="D86" i="50"/>
  <c r="D94" i="50"/>
  <c r="D102" i="50"/>
  <c r="D106" i="50"/>
  <c r="D110" i="50"/>
  <c r="D118" i="50"/>
  <c r="D126" i="50"/>
  <c r="D134" i="50"/>
  <c r="D12" i="50"/>
  <c r="D16" i="50"/>
  <c r="D24" i="50"/>
  <c r="D28" i="50"/>
  <c r="D32" i="50"/>
  <c r="D36" i="50"/>
  <c r="D40" i="50"/>
  <c r="D44" i="50"/>
  <c r="D48" i="50"/>
  <c r="D52" i="50"/>
  <c r="D56" i="50"/>
  <c r="D60" i="50"/>
  <c r="D64" i="50"/>
  <c r="D68" i="50"/>
  <c r="D72" i="50"/>
  <c r="D76" i="50"/>
  <c r="D80" i="50"/>
  <c r="D84" i="50"/>
  <c r="D88" i="50"/>
  <c r="D92" i="50"/>
  <c r="D100" i="50"/>
  <c r="D104" i="50"/>
  <c r="D108" i="50"/>
  <c r="D116" i="50"/>
  <c r="D124" i="50"/>
  <c r="D128" i="50"/>
  <c r="D132" i="50"/>
  <c r="D136" i="50"/>
  <c r="D140" i="50"/>
  <c r="D144" i="50"/>
  <c r="D148" i="50"/>
  <c r="D152" i="50"/>
  <c r="D156" i="50"/>
  <c r="D160" i="50"/>
  <c r="D164" i="50"/>
  <c r="D168" i="50"/>
  <c r="D172" i="50"/>
  <c r="D176" i="50"/>
  <c r="D180" i="50"/>
  <c r="D184" i="50"/>
  <c r="D188" i="50"/>
  <c r="D192" i="50"/>
  <c r="D196" i="50"/>
  <c r="D13" i="50"/>
  <c r="D21" i="50"/>
  <c r="D37" i="50"/>
  <c r="D45" i="50"/>
  <c r="D53" i="50"/>
  <c r="D61" i="50"/>
  <c r="D69" i="50"/>
  <c r="D77" i="50"/>
  <c r="D85" i="50"/>
  <c r="D93" i="50"/>
  <c r="D97" i="50"/>
  <c r="D105" i="50"/>
  <c r="D113" i="50"/>
  <c r="D121" i="50"/>
  <c r="D129" i="50"/>
  <c r="D137" i="50"/>
  <c r="D145" i="50"/>
  <c r="D153" i="50"/>
  <c r="D161" i="50"/>
  <c r="D169" i="50"/>
  <c r="D177" i="50"/>
  <c r="D185" i="50"/>
  <c r="D193" i="50"/>
  <c r="D10" i="50"/>
  <c r="D26" i="50"/>
  <c r="D34" i="50"/>
  <c r="D42" i="50"/>
  <c r="D50" i="50"/>
  <c r="D58" i="50"/>
  <c r="D66" i="50"/>
  <c r="D74" i="50"/>
  <c r="D82" i="50"/>
  <c r="D90" i="50"/>
  <c r="D114" i="50"/>
  <c r="D122" i="50"/>
  <c r="D130" i="50"/>
  <c r="D138" i="50"/>
  <c r="D142" i="50"/>
  <c r="D158" i="50"/>
  <c r="D174" i="50"/>
  <c r="D190" i="50"/>
  <c r="D166" i="50"/>
  <c r="D170" i="50"/>
  <c r="D146" i="50"/>
  <c r="D162" i="50"/>
  <c r="D178" i="50"/>
  <c r="D194" i="50"/>
  <c r="D150" i="50"/>
  <c r="D182" i="50"/>
  <c r="D154" i="50"/>
  <c r="D186" i="50"/>
  <c r="L112" i="53"/>
  <c r="E33" i="51"/>
  <c r="B20" i="56"/>
  <c r="F33" i="51"/>
  <c r="H112" i="53"/>
  <c r="T76" i="53"/>
  <c r="G70" i="53"/>
  <c r="S71" i="53" s="1"/>
  <c r="G112" i="53"/>
  <c r="E112" i="53"/>
  <c r="I112" i="53"/>
  <c r="M112" i="53"/>
  <c r="Q112" i="53"/>
  <c r="U112" i="53"/>
  <c r="Y112" i="53"/>
  <c r="F112" i="53"/>
  <c r="J112" i="53"/>
  <c r="N112" i="53"/>
  <c r="R112" i="53"/>
  <c r="V112" i="53"/>
  <c r="Z112" i="53"/>
  <c r="C112" i="53"/>
  <c r="C113" i="53" s="1"/>
  <c r="K112" i="53"/>
  <c r="O112" i="53"/>
  <c r="S112" i="53"/>
  <c r="W112" i="53"/>
  <c r="AA112" i="53"/>
  <c r="D112" i="53"/>
  <c r="X112" i="53"/>
  <c r="D18" i="54"/>
  <c r="J25" i="53"/>
  <c r="D38" i="53" s="1"/>
  <c r="C18" i="54"/>
  <c r="K6" i="54"/>
  <c r="C37" i="53" s="1"/>
  <c r="C38" i="53"/>
  <c r="O76" i="53"/>
  <c r="AA77" i="53" s="1"/>
  <c r="P76" i="53"/>
  <c r="N76" i="53"/>
  <c r="Z77" i="53" s="1"/>
  <c r="M76" i="53"/>
  <c r="Y77" i="53" s="1"/>
  <c r="L76" i="53"/>
  <c r="X77" i="53" s="1"/>
  <c r="R76" i="53"/>
  <c r="K76" i="53"/>
  <c r="W77" i="53" s="1"/>
  <c r="Z76" i="53"/>
  <c r="J76" i="53"/>
  <c r="V77" i="53" s="1"/>
  <c r="I76" i="53"/>
  <c r="U77" i="53" s="1"/>
  <c r="D76" i="53"/>
  <c r="D78" i="53" s="1"/>
  <c r="X76" i="53"/>
  <c r="G76" i="53"/>
  <c r="S77" i="53" s="1"/>
  <c r="V76" i="53"/>
  <c r="F76" i="53"/>
  <c r="R77" i="53" s="1"/>
  <c r="E76" i="53"/>
  <c r="Q77" i="53" s="1"/>
  <c r="S76" i="53"/>
  <c r="Q76" i="53"/>
  <c r="D11" i="56"/>
  <c r="C21" i="54"/>
  <c r="D31" i="54"/>
  <c r="D29" i="56"/>
  <c r="F29" i="56"/>
  <c r="F30" i="56" s="1"/>
  <c r="F25" i="53"/>
  <c r="E29" i="56"/>
  <c r="E30" i="56" s="1"/>
  <c r="G29" i="56"/>
  <c r="G30" i="56" s="1"/>
  <c r="D96" i="53"/>
  <c r="D97" i="53" s="1"/>
  <c r="P95" i="53"/>
  <c r="E88" i="53"/>
  <c r="Q89" i="53" s="1"/>
  <c r="D88" i="53"/>
  <c r="Y70" i="53"/>
  <c r="J70" i="53"/>
  <c r="V71" i="53" s="1"/>
  <c r="O70" i="53"/>
  <c r="AA71" i="53" s="1"/>
  <c r="L70" i="53"/>
  <c r="X71" i="53" s="1"/>
  <c r="G48" i="53" l="1"/>
  <c r="F56" i="53"/>
  <c r="F105" i="53" s="1"/>
  <c r="M113" i="53"/>
  <c r="Z113" i="53"/>
  <c r="Y113" i="53"/>
  <c r="E70" i="53"/>
  <c r="Q71" i="53" s="1"/>
  <c r="O113" i="53"/>
  <c r="W113" i="53"/>
  <c r="U70" i="53"/>
  <c r="Q70" i="53"/>
  <c r="X70" i="53"/>
  <c r="H70" i="53"/>
  <c r="T71" i="53" s="1"/>
  <c r="W70" i="53"/>
  <c r="Z70" i="53"/>
  <c r="V70" i="53"/>
  <c r="K70" i="53"/>
  <c r="W71" i="53" s="1"/>
  <c r="U76" i="53"/>
  <c r="W76" i="53"/>
  <c r="Y76" i="53"/>
  <c r="AA76" i="53"/>
  <c r="H76" i="53"/>
  <c r="T77" i="53" s="1"/>
  <c r="I70" i="53"/>
  <c r="U71" i="53" s="1"/>
  <c r="R70" i="53"/>
  <c r="P70" i="53"/>
  <c r="N70" i="53"/>
  <c r="Z71" i="53" s="1"/>
  <c r="F70" i="53"/>
  <c r="R71" i="53" s="1"/>
  <c r="AA70" i="53"/>
  <c r="M70" i="53"/>
  <c r="Y71" i="53" s="1"/>
  <c r="S70" i="53"/>
  <c r="T70" i="53"/>
  <c r="D113" i="53"/>
  <c r="D70" i="53"/>
  <c r="D72" i="53" s="1"/>
  <c r="D73" i="53" s="1"/>
  <c r="F113" i="53"/>
  <c r="AA113" i="53"/>
  <c r="V113" i="53"/>
  <c r="H113" i="53"/>
  <c r="P113" i="53"/>
  <c r="E113" i="53"/>
  <c r="J113" i="53"/>
  <c r="R113" i="53"/>
  <c r="T113" i="53"/>
  <c r="X113" i="53"/>
  <c r="L113" i="53"/>
  <c r="G113" i="53"/>
  <c r="S113" i="53"/>
  <c r="N113" i="53"/>
  <c r="I113" i="53"/>
  <c r="U113" i="53"/>
  <c r="Q113" i="53"/>
  <c r="K113" i="53"/>
  <c r="P77" i="53"/>
  <c r="E94" i="53"/>
  <c r="E96" i="53" s="1"/>
  <c r="C99" i="53"/>
  <c r="C15" i="54"/>
  <c r="E13" i="56"/>
  <c r="E12" i="56"/>
  <c r="C31" i="54"/>
  <c r="F24" i="53"/>
  <c r="D12" i="56"/>
  <c r="D13" i="56"/>
  <c r="F94" i="53"/>
  <c r="R95" i="53" s="1"/>
  <c r="D79" i="53"/>
  <c r="E78" i="53"/>
  <c r="P89" i="53"/>
  <c r="D90" i="53"/>
  <c r="G94" i="53"/>
  <c r="S95" i="53" s="1"/>
  <c r="H48" i="53" l="1"/>
  <c r="G56" i="53"/>
  <c r="G105" i="53" s="1"/>
  <c r="E72" i="53"/>
  <c r="P71" i="53"/>
  <c r="Q95" i="53"/>
  <c r="C100" i="53"/>
  <c r="C116" i="53" s="1"/>
  <c r="C115" i="53"/>
  <c r="F88" i="53"/>
  <c r="R89" i="53" s="1"/>
  <c r="E97" i="53"/>
  <c r="F96" i="53"/>
  <c r="E73" i="53"/>
  <c r="F72" i="53"/>
  <c r="D91" i="53"/>
  <c r="E90" i="53"/>
  <c r="H94" i="53"/>
  <c r="T95" i="53" s="1"/>
  <c r="E79" i="53"/>
  <c r="F78" i="53"/>
  <c r="G88" i="53"/>
  <c r="S89" i="53" s="1"/>
  <c r="H56" i="53" l="1"/>
  <c r="H105" i="53" s="1"/>
  <c r="I48" i="53"/>
  <c r="F73" i="53"/>
  <c r="G72" i="53"/>
  <c r="I94" i="53"/>
  <c r="U95" i="53" s="1"/>
  <c r="G78" i="53"/>
  <c r="F79" i="53"/>
  <c r="E91" i="53"/>
  <c r="F90" i="53"/>
  <c r="F97" i="53"/>
  <c r="G96" i="53"/>
  <c r="H88" i="53"/>
  <c r="T89" i="53" s="1"/>
  <c r="J48" i="53" l="1"/>
  <c r="I56" i="53"/>
  <c r="I105" i="53" s="1"/>
  <c r="D99" i="53"/>
  <c r="D100" i="53" s="1"/>
  <c r="D116" i="53" s="1"/>
  <c r="G90" i="53"/>
  <c r="F91" i="53"/>
  <c r="J94" i="53"/>
  <c r="V95" i="53" s="1"/>
  <c r="G97" i="53"/>
  <c r="H96" i="53"/>
  <c r="H78" i="53"/>
  <c r="G79" i="53"/>
  <c r="H72" i="53"/>
  <c r="G73" i="53"/>
  <c r="I88" i="53"/>
  <c r="U89" i="53" s="1"/>
  <c r="K48" i="53" l="1"/>
  <c r="J56" i="53"/>
  <c r="J105" i="53" s="1"/>
  <c r="D115" i="53"/>
  <c r="E99" i="53"/>
  <c r="E115" i="53" s="1"/>
  <c r="G91" i="53"/>
  <c r="H90" i="53"/>
  <c r="I78" i="53"/>
  <c r="H79" i="53"/>
  <c r="K94" i="53"/>
  <c r="W95" i="53" s="1"/>
  <c r="H73" i="53"/>
  <c r="I72" i="53"/>
  <c r="I96" i="53"/>
  <c r="H97" i="53"/>
  <c r="J88" i="53"/>
  <c r="V89" i="53" s="1"/>
  <c r="K56" i="53" l="1"/>
  <c r="K105" i="53" s="1"/>
  <c r="L48" i="53"/>
  <c r="E100" i="53"/>
  <c r="E116" i="53" s="1"/>
  <c r="F99" i="53"/>
  <c r="F115" i="53" s="1"/>
  <c r="I73" i="53"/>
  <c r="J72" i="53"/>
  <c r="I79" i="53"/>
  <c r="J78" i="53"/>
  <c r="H91" i="53"/>
  <c r="I90" i="53"/>
  <c r="J96" i="53"/>
  <c r="I97" i="53"/>
  <c r="L94" i="53"/>
  <c r="X95" i="53" s="1"/>
  <c r="K88" i="53"/>
  <c r="W89" i="53" s="1"/>
  <c r="M48" i="53" l="1"/>
  <c r="L56" i="53"/>
  <c r="L105" i="53" s="1"/>
  <c r="F100" i="53"/>
  <c r="F116" i="53" s="1"/>
  <c r="G99" i="53"/>
  <c r="G100" i="53" s="1"/>
  <c r="G116" i="53" s="1"/>
  <c r="K78" i="53"/>
  <c r="J79" i="53"/>
  <c r="J97" i="53"/>
  <c r="K96" i="53"/>
  <c r="M94" i="53"/>
  <c r="Y95" i="53" s="1"/>
  <c r="I91" i="53"/>
  <c r="J90" i="53"/>
  <c r="J91" i="53" s="1"/>
  <c r="J73" i="53"/>
  <c r="K72" i="53"/>
  <c r="L88" i="53"/>
  <c r="X89" i="53" s="1"/>
  <c r="N48" i="53" l="1"/>
  <c r="M56" i="53"/>
  <c r="M105" i="53" s="1"/>
  <c r="G115" i="53"/>
  <c r="H99" i="53"/>
  <c r="K97" i="53"/>
  <c r="L96" i="53"/>
  <c r="K73" i="53"/>
  <c r="L72" i="53"/>
  <c r="K90" i="53"/>
  <c r="L90" i="53" s="1"/>
  <c r="N94" i="53"/>
  <c r="Z95" i="53" s="1"/>
  <c r="K79" i="53"/>
  <c r="L78" i="53"/>
  <c r="M88" i="53"/>
  <c r="Y89" i="53" s="1"/>
  <c r="N56" i="53" l="1"/>
  <c r="N105" i="53" s="1"/>
  <c r="O48" i="53"/>
  <c r="H115" i="53"/>
  <c r="H100" i="53"/>
  <c r="H116" i="53" s="1"/>
  <c r="I99" i="53"/>
  <c r="I115" i="53" s="1"/>
  <c r="K91" i="53"/>
  <c r="L73" i="53"/>
  <c r="M72" i="53"/>
  <c r="L79" i="53"/>
  <c r="M78" i="53"/>
  <c r="L97" i="53"/>
  <c r="M96" i="53"/>
  <c r="O94" i="53"/>
  <c r="AA95" i="53" s="1"/>
  <c r="N88" i="53"/>
  <c r="Z89" i="53" s="1"/>
  <c r="M90" i="53"/>
  <c r="L91" i="53"/>
  <c r="P48" i="53" l="1"/>
  <c r="O56" i="53"/>
  <c r="O105" i="53" s="1"/>
  <c r="I100" i="53"/>
  <c r="I116" i="53" s="1"/>
  <c r="J99" i="53"/>
  <c r="J115" i="53" s="1"/>
  <c r="P94" i="53"/>
  <c r="N96" i="53"/>
  <c r="M97" i="53"/>
  <c r="M73" i="53"/>
  <c r="N72" i="53"/>
  <c r="M79" i="53"/>
  <c r="N78" i="53"/>
  <c r="O88" i="53"/>
  <c r="AA89" i="53" s="1"/>
  <c r="M91" i="53"/>
  <c r="N90" i="53"/>
  <c r="P56" i="53" l="1"/>
  <c r="P105" i="53" s="1"/>
  <c r="Q48" i="53"/>
  <c r="J100" i="53"/>
  <c r="J116" i="53" s="1"/>
  <c r="K99" i="53"/>
  <c r="K115" i="53" s="1"/>
  <c r="O78" i="53"/>
  <c r="N79" i="53"/>
  <c r="N97" i="53"/>
  <c r="O96" i="53"/>
  <c r="N73" i="53"/>
  <c r="O72" i="53"/>
  <c r="Q94" i="53"/>
  <c r="P88" i="53"/>
  <c r="O90" i="53"/>
  <c r="N91" i="53"/>
  <c r="Q56" i="53" l="1"/>
  <c r="Q105" i="53" s="1"/>
  <c r="R48" i="53"/>
  <c r="K100" i="53"/>
  <c r="K116" i="53" s="1"/>
  <c r="L99" i="53"/>
  <c r="L115" i="53" s="1"/>
  <c r="P96" i="53"/>
  <c r="O97" i="53"/>
  <c r="O73" i="53"/>
  <c r="P72" i="53"/>
  <c r="R94" i="53"/>
  <c r="O79" i="53"/>
  <c r="P78" i="53"/>
  <c r="O91" i="53"/>
  <c r="P90" i="53"/>
  <c r="Q88" i="53"/>
  <c r="S48" i="53" l="1"/>
  <c r="R56" i="53"/>
  <c r="R105" i="53" s="1"/>
  <c r="L100" i="53"/>
  <c r="L116" i="53" s="1"/>
  <c r="M99" i="53"/>
  <c r="M115" i="53" s="1"/>
  <c r="P79" i="53"/>
  <c r="Q78" i="53"/>
  <c r="Q72" i="53"/>
  <c r="P73" i="53"/>
  <c r="S94" i="53"/>
  <c r="P97" i="53"/>
  <c r="Q96" i="53"/>
  <c r="P91" i="53"/>
  <c r="Q90" i="53"/>
  <c r="R88" i="53"/>
  <c r="S56" i="53" l="1"/>
  <c r="S105" i="53" s="1"/>
  <c r="T48" i="53"/>
  <c r="M100" i="53"/>
  <c r="M116" i="53" s="1"/>
  <c r="N99" i="53"/>
  <c r="R96" i="53"/>
  <c r="Q97" i="53"/>
  <c r="Q73" i="53"/>
  <c r="R72" i="53"/>
  <c r="Q79" i="53"/>
  <c r="R78" i="53"/>
  <c r="T94" i="53"/>
  <c r="S88" i="53"/>
  <c r="Q91" i="53"/>
  <c r="R90" i="53"/>
  <c r="U48" i="53" l="1"/>
  <c r="T56" i="53"/>
  <c r="T105" i="53" s="1"/>
  <c r="N115" i="53"/>
  <c r="N100" i="53"/>
  <c r="N116" i="53" s="1"/>
  <c r="O99" i="53"/>
  <c r="R73" i="53"/>
  <c r="S72" i="53"/>
  <c r="U94" i="53"/>
  <c r="S78" i="53"/>
  <c r="R79" i="53"/>
  <c r="R97" i="53"/>
  <c r="S96" i="53"/>
  <c r="S90" i="53"/>
  <c r="R91" i="53"/>
  <c r="T88" i="53"/>
  <c r="V48" i="53" l="1"/>
  <c r="U56" i="53"/>
  <c r="U105" i="53" s="1"/>
  <c r="O115" i="53"/>
  <c r="O100" i="53"/>
  <c r="O116" i="53" s="1"/>
  <c r="P99" i="53"/>
  <c r="P115" i="53" s="1"/>
  <c r="S97" i="53"/>
  <c r="T96" i="53"/>
  <c r="S73" i="53"/>
  <c r="T72" i="53"/>
  <c r="V94" i="53"/>
  <c r="T78" i="53"/>
  <c r="S79" i="53"/>
  <c r="U88" i="53"/>
  <c r="T90" i="53"/>
  <c r="S91" i="53"/>
  <c r="W48" i="53" l="1"/>
  <c r="V56" i="53"/>
  <c r="V105" i="53" s="1"/>
  <c r="P100" i="53"/>
  <c r="P116" i="53" s="1"/>
  <c r="Q99" i="53"/>
  <c r="T73" i="53"/>
  <c r="U72" i="53"/>
  <c r="T97" i="53"/>
  <c r="U96" i="53"/>
  <c r="U78" i="53"/>
  <c r="T79" i="53"/>
  <c r="W94" i="53"/>
  <c r="T91" i="53"/>
  <c r="U90" i="53"/>
  <c r="V88" i="53"/>
  <c r="X48" i="53" l="1"/>
  <c r="W56" i="53"/>
  <c r="W105" i="53" s="1"/>
  <c r="Q115" i="53"/>
  <c r="Q100" i="53"/>
  <c r="Q116" i="53" s="1"/>
  <c r="R99" i="53"/>
  <c r="R115" i="53" s="1"/>
  <c r="V96" i="53"/>
  <c r="U97" i="53"/>
  <c r="U73" i="53"/>
  <c r="V72" i="53"/>
  <c r="X94" i="53"/>
  <c r="U79" i="53"/>
  <c r="V78" i="53"/>
  <c r="W88" i="53"/>
  <c r="V90" i="53"/>
  <c r="U91" i="53"/>
  <c r="X56" i="53" l="1"/>
  <c r="X105" i="53" s="1"/>
  <c r="Y48" i="53"/>
  <c r="R100" i="53"/>
  <c r="R116" i="53" s="1"/>
  <c r="S99" i="53"/>
  <c r="S115" i="53" s="1"/>
  <c r="W78" i="53"/>
  <c r="V79" i="53"/>
  <c r="W72" i="53"/>
  <c r="V73" i="53"/>
  <c r="Y94" i="53"/>
  <c r="W96" i="53"/>
  <c r="V97" i="53"/>
  <c r="V91" i="53"/>
  <c r="W90" i="53"/>
  <c r="X88" i="53"/>
  <c r="Y56" i="53" l="1"/>
  <c r="Y105" i="53" s="1"/>
  <c r="Z48" i="53"/>
  <c r="S100" i="53"/>
  <c r="S116" i="53" s="1"/>
  <c r="T99" i="53"/>
  <c r="T115" i="53" s="1"/>
  <c r="W97" i="53"/>
  <c r="X96" i="53"/>
  <c r="X72" i="53"/>
  <c r="W73" i="53"/>
  <c r="Z94" i="53"/>
  <c r="W79" i="53"/>
  <c r="X78" i="53"/>
  <c r="Y88" i="53"/>
  <c r="X90" i="53"/>
  <c r="W91" i="53"/>
  <c r="AA48" i="53" l="1"/>
  <c r="AA56" i="53" s="1"/>
  <c r="AA105" i="53" s="1"/>
  <c r="Z56" i="53"/>
  <c r="Z105" i="53" s="1"/>
  <c r="T100" i="53"/>
  <c r="T116" i="53" s="1"/>
  <c r="U99" i="53"/>
  <c r="U115" i="53" s="1"/>
  <c r="X79" i="53"/>
  <c r="Y78" i="53"/>
  <c r="X73" i="53"/>
  <c r="Y72" i="53"/>
  <c r="X97" i="53"/>
  <c r="Y96" i="53"/>
  <c r="AA94" i="53"/>
  <c r="Z88" i="53"/>
  <c r="X91" i="53"/>
  <c r="Y90" i="53"/>
  <c r="U100" i="53" l="1"/>
  <c r="U116" i="53" s="1"/>
  <c r="V99" i="53"/>
  <c r="Y73" i="53"/>
  <c r="Z72" i="53"/>
  <c r="Y97" i="53"/>
  <c r="Z96" i="53"/>
  <c r="Z78" i="53"/>
  <c r="Y79" i="53"/>
  <c r="Y91" i="53"/>
  <c r="Z90" i="53"/>
  <c r="AA88" i="53"/>
  <c r="V115" i="53" l="1"/>
  <c r="V100" i="53"/>
  <c r="V116" i="53" s="1"/>
  <c r="W99" i="53"/>
  <c r="W115" i="53" s="1"/>
  <c r="Z97" i="53"/>
  <c r="AA96" i="53"/>
  <c r="AA97" i="53" s="1"/>
  <c r="Z73" i="53"/>
  <c r="AA72" i="53"/>
  <c r="AA73" i="53" s="1"/>
  <c r="AA78" i="53"/>
  <c r="AA79" i="53" s="1"/>
  <c r="Z79" i="53"/>
  <c r="Z91" i="53"/>
  <c r="AA90" i="53"/>
  <c r="AA91" i="53" s="1"/>
  <c r="F134" i="53"/>
  <c r="W100" i="53" l="1"/>
  <c r="W116" i="53" s="1"/>
  <c r="X99" i="53"/>
  <c r="X115" i="53" l="1"/>
  <c r="X100" i="53"/>
  <c r="X116" i="53" s="1"/>
  <c r="Y99" i="53"/>
  <c r="Y115" i="53" l="1"/>
  <c r="Y100" i="53"/>
  <c r="Y116" i="53" s="1"/>
  <c r="AA99" i="53"/>
  <c r="AA115" i="53" s="1"/>
  <c r="Z99" i="53"/>
  <c r="Z115" i="53" s="1"/>
  <c r="Z100" i="53" l="1"/>
  <c r="Z116" i="53" s="1"/>
  <c r="AA100" i="53"/>
  <c r="D134" i="53" l="1"/>
  <c r="AA116" i="53"/>
  <c r="E134" i="53" l="1"/>
  <c r="C43" i="56"/>
  <c r="C34" i="56"/>
  <c r="C134" i="53"/>
</calcChain>
</file>

<file path=xl/sharedStrings.xml><?xml version="1.0" encoding="utf-8"?>
<sst xmlns="http://schemas.openxmlformats.org/spreadsheetml/2006/main" count="2715" uniqueCount="1008">
  <si>
    <t>Total</t>
  </si>
  <si>
    <t>Overall Stats</t>
  </si>
  <si>
    <t>Overall</t>
  </si>
  <si>
    <t xml:space="preserve"> </t>
  </si>
  <si>
    <t>Understanding the Data</t>
  </si>
  <si>
    <t>Social Media PPC Campaign Data</t>
  </si>
  <si>
    <t>Date</t>
  </si>
  <si>
    <t>Facebook Impressions</t>
  </si>
  <si>
    <t>Facebook Clicks</t>
  </si>
  <si>
    <t>Facebook Cost</t>
  </si>
  <si>
    <t>Facebook Conversions</t>
  </si>
  <si>
    <t>Facebook Campaign ID</t>
  </si>
  <si>
    <t>AW_Apr17</t>
  </si>
  <si>
    <t>AW_May17</t>
  </si>
  <si>
    <t>AW_Jun17</t>
  </si>
  <si>
    <t>FB_Apr17</t>
  </si>
  <si>
    <t>FB_May17</t>
  </si>
  <si>
    <t>FB_Jun17</t>
  </si>
  <si>
    <t>Facebook CTR</t>
  </si>
  <si>
    <t>Facebook CVR</t>
  </si>
  <si>
    <t>AdWords</t>
  </si>
  <si>
    <t>Budget</t>
  </si>
  <si>
    <t>CPC Avg</t>
  </si>
  <si>
    <t>CVR %</t>
  </si>
  <si>
    <t>Cost/lead</t>
  </si>
  <si>
    <t># Clicks</t>
  </si>
  <si>
    <t>Lead CVR %</t>
  </si>
  <si>
    <t># Leads</t>
  </si>
  <si>
    <t>Name</t>
  </si>
  <si>
    <t>Margin</t>
  </si>
  <si>
    <t>Ad Spend</t>
  </si>
  <si>
    <t>Facebook</t>
  </si>
  <si>
    <t># Impressions</t>
  </si>
  <si>
    <t>CTR</t>
  </si>
  <si>
    <t>CPC</t>
  </si>
  <si>
    <t>AdWords Stats by Ad</t>
  </si>
  <si>
    <t>Facebook Stats by Ad</t>
  </si>
  <si>
    <t>Calculating Cost per Lead</t>
  </si>
  <si>
    <t>Lowery, Easton</t>
  </si>
  <si>
    <t>Flowers, Franco</t>
  </si>
  <si>
    <t>Allison, Maeve</t>
  </si>
  <si>
    <t>Cuevas, Darnell</t>
  </si>
  <si>
    <t>Lamb, Porter</t>
  </si>
  <si>
    <t>Callahan, Jaqueline</t>
  </si>
  <si>
    <t>Jordan, Hailee</t>
  </si>
  <si>
    <t>Olsen, Kyle</t>
  </si>
  <si>
    <t>Beasley, Molly</t>
  </si>
  <si>
    <t>Watts, Pablo</t>
  </si>
  <si>
    <t>Melendez, Izabelle</t>
  </si>
  <si>
    <t>Cohen, Jenny</t>
  </si>
  <si>
    <t>Burns, Gage</t>
  </si>
  <si>
    <t>Guerrero, Sierra</t>
  </si>
  <si>
    <t>Wagner, Laura</t>
  </si>
  <si>
    <t>Mclean, Freddy</t>
  </si>
  <si>
    <t>Powell, Angie</t>
  </si>
  <si>
    <t>Sampson, Kylie</t>
  </si>
  <si>
    <t>Aguilar, Evangeline</t>
  </si>
  <si>
    <t>Jenkins, Shelby</t>
  </si>
  <si>
    <t>Johnston, Brendon</t>
  </si>
  <si>
    <t>Jimenez, Belen</t>
  </si>
  <si>
    <t>Coffey, Kinsley</t>
  </si>
  <si>
    <t>Brady, Ahmad</t>
  </si>
  <si>
    <t>Dean, Julia</t>
  </si>
  <si>
    <t>Wheeler, Jocelyn</t>
  </si>
  <si>
    <t>Cole, Owen</t>
  </si>
  <si>
    <t>Adkins, Mya</t>
  </si>
  <si>
    <t>Hudson, Johnny</t>
  </si>
  <si>
    <t>Schneider, Delaney</t>
  </si>
  <si>
    <t>Parker, Jayleen</t>
  </si>
  <si>
    <t>Greene, Zain</t>
  </si>
  <si>
    <t>Silva, Alicia</t>
  </si>
  <si>
    <t>Avery, Alexia</t>
  </si>
  <si>
    <t>Fox, Quincy</t>
  </si>
  <si>
    <t>Lawson, Branden</t>
  </si>
  <si>
    <t>Kemp, Bradyn</t>
  </si>
  <si>
    <t>Gibbs, Janet</t>
  </si>
  <si>
    <t>Holloway, Yesenia</t>
  </si>
  <si>
    <t>Clarke, Mikaela</t>
  </si>
  <si>
    <t>Cross, Ross</t>
  </si>
  <si>
    <t>Farrell, Raegan</t>
  </si>
  <si>
    <t>Livingston, Xzavier</t>
  </si>
  <si>
    <t>Villegas, Armando</t>
  </si>
  <si>
    <t>Harding, Melvin</t>
  </si>
  <si>
    <t>Shaffer, Kendal</t>
  </si>
  <si>
    <t>Serrano, Caroline</t>
  </si>
  <si>
    <t>Stevenson, Aidyn</t>
  </si>
  <si>
    <t>Craig, Israel</t>
  </si>
  <si>
    <t>Pace, Davion</t>
  </si>
  <si>
    <t>Hahn, Dylan</t>
  </si>
  <si>
    <t>Walton, Sabrina</t>
  </si>
  <si>
    <t>Vang, Kaia</t>
  </si>
  <si>
    <t>Bautista, Maximo</t>
  </si>
  <si>
    <t>Hanna, Lawrence</t>
  </si>
  <si>
    <t>Garrison, Bridget</t>
  </si>
  <si>
    <t>Castro, Amanda</t>
  </si>
  <si>
    <t>Carey, Jake</t>
  </si>
  <si>
    <t>Snyder, Joyce</t>
  </si>
  <si>
    <t>Gutierrez, Alexzander</t>
  </si>
  <si>
    <t>Suarez, Nickolas</t>
  </si>
  <si>
    <t>Tucker, Kamren</t>
  </si>
  <si>
    <t>Pitts, Kiana</t>
  </si>
  <si>
    <t>Stark, Beau</t>
  </si>
  <si>
    <t>Mills, Ian</t>
  </si>
  <si>
    <t>Henderson, Mercedes</t>
  </si>
  <si>
    <t>Zimmerman, Reyna</t>
  </si>
  <si>
    <t>Frost, Kaeden</t>
  </si>
  <si>
    <t>Simon, Charles</t>
  </si>
  <si>
    <t>Buckley, Peyton</t>
  </si>
  <si>
    <t>Pruitt, Christina</t>
  </si>
  <si>
    <t>Hess, Eli</t>
  </si>
  <si>
    <t>Mullen, Lucille</t>
  </si>
  <si>
    <t>Zamora, Colten</t>
  </si>
  <si>
    <t>Berger, Hayden</t>
  </si>
  <si>
    <t>Harris, Christian</t>
  </si>
  <si>
    <t>Walsh, Desirae</t>
  </si>
  <si>
    <t>Blevins, Terrell</t>
  </si>
  <si>
    <t>Alvarado, Amiyah</t>
  </si>
  <si>
    <t>Waller, Marina</t>
  </si>
  <si>
    <t>Beltran, Brooks</t>
  </si>
  <si>
    <t>Booker, Samson</t>
  </si>
  <si>
    <t>Browning, Tucker</t>
  </si>
  <si>
    <t>Ford, Ariana</t>
  </si>
  <si>
    <t>Hart, Kaya</t>
  </si>
  <si>
    <t>Wilkinson, Emery</t>
  </si>
  <si>
    <t>Fowler, Phoenix</t>
  </si>
  <si>
    <t>Castaneda, Warren</t>
  </si>
  <si>
    <t>Thornton, Libby</t>
  </si>
  <si>
    <t>Cooley, India</t>
  </si>
  <si>
    <t>Perry, Dominik</t>
  </si>
  <si>
    <t>Townsend, Ashley</t>
  </si>
  <si>
    <t>Rojas, Quinn</t>
  </si>
  <si>
    <t>Cook, Abigayle</t>
  </si>
  <si>
    <t>Hurley, Phoenix</t>
  </si>
  <si>
    <t>Peterson, Chasity</t>
  </si>
  <si>
    <t>Gentry, Joe</t>
  </si>
  <si>
    <t>Bryan, Norah</t>
  </si>
  <si>
    <t>White, Emerson</t>
  </si>
  <si>
    <t>Ryan, Terry</t>
  </si>
  <si>
    <t>Christian, Carlos</t>
  </si>
  <si>
    <t>Mendez, Dillon</t>
  </si>
  <si>
    <t>Bradley, Daniella</t>
  </si>
  <si>
    <t>Durham, Leroy</t>
  </si>
  <si>
    <t>Chavez, Javier</t>
  </si>
  <si>
    <t>Ellis, Myah</t>
  </si>
  <si>
    <t>Costa, Miya</t>
  </si>
  <si>
    <t>Lane, Joaquin</t>
  </si>
  <si>
    <t>Salinas, Tristian</t>
  </si>
  <si>
    <t>Key, Yosef</t>
  </si>
  <si>
    <t>Lindsey, Orion</t>
  </si>
  <si>
    <t>Solomon, Bradley</t>
  </si>
  <si>
    <t>Robertson, Zachariah</t>
  </si>
  <si>
    <t>Zavala, Sophia</t>
  </si>
  <si>
    <t>Benitez, Joel</t>
  </si>
  <si>
    <t>Collins, Antony</t>
  </si>
  <si>
    <t>Donovan, Luna</t>
  </si>
  <si>
    <t>York, Nicolas</t>
  </si>
  <si>
    <t>Krause, Hailie</t>
  </si>
  <si>
    <t>Mayo, Angelina</t>
  </si>
  <si>
    <t>Whitehead, Moses</t>
  </si>
  <si>
    <t>Crawford, Kaylee</t>
  </si>
  <si>
    <t>Boone, Natalie</t>
  </si>
  <si>
    <t>Estes, Anya</t>
  </si>
  <si>
    <t>Wallace, Jordyn</t>
  </si>
  <si>
    <t>Franklin, Anabelle</t>
  </si>
  <si>
    <t>Simpson, Regina</t>
  </si>
  <si>
    <t>Holmes, Giancarlo</t>
  </si>
  <si>
    <t>Acosta, Finn</t>
  </si>
  <si>
    <t>Pham, Rowan</t>
  </si>
  <si>
    <t>Huff, Malia</t>
  </si>
  <si>
    <t>Beard, Dakota</t>
  </si>
  <si>
    <t>Baxter, Karsyn</t>
  </si>
  <si>
    <t>Duffy, Izayah</t>
  </si>
  <si>
    <t>Kaufman, Marcus</t>
  </si>
  <si>
    <t>Lyons, Anika</t>
  </si>
  <si>
    <t>Lynch, Cullen</t>
  </si>
  <si>
    <t>Garrett, Sharon</t>
  </si>
  <si>
    <t>Cordova, Moises</t>
  </si>
  <si>
    <t>Fry, Adam</t>
  </si>
  <si>
    <t>Bright, Britney</t>
  </si>
  <si>
    <t>Rush, Maryjane</t>
  </si>
  <si>
    <t>Andrade, Adyson</t>
  </si>
  <si>
    <t>Ball, Marlene</t>
  </si>
  <si>
    <t>Gillespie, Trenton</t>
  </si>
  <si>
    <t>Petersen, Morgan</t>
  </si>
  <si>
    <t>May, Dayanara</t>
  </si>
  <si>
    <t>Henson, Donna</t>
  </si>
  <si>
    <t>Case, Devin</t>
  </si>
  <si>
    <t>Fields, Lilly</t>
  </si>
  <si>
    <t>Crane, Julie</t>
  </si>
  <si>
    <t>Daniel, Toby</t>
  </si>
  <si>
    <t>Ramirez, Naomi</t>
  </si>
  <si>
    <t>Skinner, Davian</t>
  </si>
  <si>
    <t>Vazquez, Rafael</t>
  </si>
  <si>
    <t>Crosby, Ariel</t>
  </si>
  <si>
    <t>Grimes, Deanna</t>
  </si>
  <si>
    <t>Blackburn, Karma</t>
  </si>
  <si>
    <t>Barry, Fernando</t>
  </si>
  <si>
    <t>Hensley, Raven</t>
  </si>
  <si>
    <t>Cooper, Danielle</t>
  </si>
  <si>
    <t>Stokes, Jennifer</t>
  </si>
  <si>
    <t>Parks, Jacoby</t>
  </si>
  <si>
    <t>Reyes, Rylie</t>
  </si>
  <si>
    <t>Moreno, Mekhi</t>
  </si>
  <si>
    <t>Vasquez, Payton</t>
  </si>
  <si>
    <t>Christensen, Tristen</t>
  </si>
  <si>
    <t>Leach, Byron</t>
  </si>
  <si>
    <t>Horton, Kymani</t>
  </si>
  <si>
    <t>West, Kimberly</t>
  </si>
  <si>
    <t>Fuentes, Alice</t>
  </si>
  <si>
    <t>Clay, Demarion</t>
  </si>
  <si>
    <t>Roach, Angelo</t>
  </si>
  <si>
    <t>Cowan, Clayton</t>
  </si>
  <si>
    <t>Lester, Jensen</t>
  </si>
  <si>
    <t>Freeman, Emery</t>
  </si>
  <si>
    <t>Goodman, Jean</t>
  </si>
  <si>
    <t>Pollard, Shiloh</t>
  </si>
  <si>
    <t>Beck, Cristian</t>
  </si>
  <si>
    <t>Charles, Miriam</t>
  </si>
  <si>
    <t>Richards, Declan</t>
  </si>
  <si>
    <t>Khan, Arely</t>
  </si>
  <si>
    <t>Keller, Makena</t>
  </si>
  <si>
    <t>Cline, Mitchell</t>
  </si>
  <si>
    <t>Bean, Miguel</t>
  </si>
  <si>
    <t>Erickson, Asher</t>
  </si>
  <si>
    <t>Kidd, Samantha</t>
  </si>
  <si>
    <t>Blanchard, Jaden</t>
  </si>
  <si>
    <t>Briggs, Paloma</t>
  </si>
  <si>
    <t>Stephenson, Marquis</t>
  </si>
  <si>
    <t>Patrick, Rocco</t>
  </si>
  <si>
    <t>Ali, Reed</t>
  </si>
  <si>
    <t>Cobb, Nathanial</t>
  </si>
  <si>
    <t>Burgess, Larissa</t>
  </si>
  <si>
    <t>Cunningham, Megan</t>
  </si>
  <si>
    <t>Sanders, Brennan</t>
  </si>
  <si>
    <t>Hale, Kyra</t>
  </si>
  <si>
    <t>Chang, Ashlyn</t>
  </si>
  <si>
    <t>Clark, Ryland</t>
  </si>
  <si>
    <t>Porter, Johnathan</t>
  </si>
  <si>
    <t>Dickerson, Alexandria</t>
  </si>
  <si>
    <t>Love, Max</t>
  </si>
  <si>
    <t>Hancock, Axel</t>
  </si>
  <si>
    <t>Baldwin, Jaylene</t>
  </si>
  <si>
    <t>Carter, Semaj</t>
  </si>
  <si>
    <t>Greer, Gilberto</t>
  </si>
  <si>
    <t>Price, Darryl</t>
  </si>
  <si>
    <t>Davidson, Christine</t>
  </si>
  <si>
    <t>Padilla, Ayanna</t>
  </si>
  <si>
    <t>Velasquez, Josh</t>
  </si>
  <si>
    <t>Luna, Madyson</t>
  </si>
  <si>
    <t>Moyer, Elliot</t>
  </si>
  <si>
    <t>Weiss, Lucas</t>
  </si>
  <si>
    <t>Stevens, Colt</t>
  </si>
  <si>
    <t>Frye, Jamie</t>
  </si>
  <si>
    <t>Armstrong, Holden</t>
  </si>
  <si>
    <t>Noble, Sonny</t>
  </si>
  <si>
    <t>Yu, Brenda</t>
  </si>
  <si>
    <t>Rodriguez, Sterling</t>
  </si>
  <si>
    <t>Madden, Reece</t>
  </si>
  <si>
    <t>Hoffman, Rory</t>
  </si>
  <si>
    <t>Clayton, Ashanti</t>
  </si>
  <si>
    <t>Cummings, Kendall</t>
  </si>
  <si>
    <t>Becker, Makai</t>
  </si>
  <si>
    <t>Trujillo, Madden</t>
  </si>
  <si>
    <t>Valencia, Maci</t>
  </si>
  <si>
    <t>Payne, Allan</t>
  </si>
  <si>
    <t>Hebert, Shawn</t>
  </si>
  <si>
    <t>Riley, Maya</t>
  </si>
  <si>
    <t>Berg, Maurice</t>
  </si>
  <si>
    <t>Hutchinson, Teagan</t>
  </si>
  <si>
    <t>Morgan, Dennis</t>
  </si>
  <si>
    <t>Fischer, Leslie</t>
  </si>
  <si>
    <t>Strickland, Camden</t>
  </si>
  <si>
    <t>Garza, Shannon</t>
  </si>
  <si>
    <t>Delacruz, Lola</t>
  </si>
  <si>
    <t>Reese, Rosa</t>
  </si>
  <si>
    <t>Hall, Kailey</t>
  </si>
  <si>
    <t>Cantu, Erika</t>
  </si>
  <si>
    <t>Arellano, Princess</t>
  </si>
  <si>
    <t>Johnson, Kason</t>
  </si>
  <si>
    <t>Velez, Maxim</t>
  </si>
  <si>
    <t>Harrison, Ahmed</t>
  </si>
  <si>
    <t>Lang, Dario</t>
  </si>
  <si>
    <t>Bonilla, Darwin</t>
  </si>
  <si>
    <t>Whitney, Lexie</t>
  </si>
  <si>
    <t>Preston, Marilyn</t>
  </si>
  <si>
    <t>Ortiz, Kennedi</t>
  </si>
  <si>
    <t>Soto, Chelsea</t>
  </si>
  <si>
    <t>Simmons, Martin</t>
  </si>
  <si>
    <t>Bowen, Erin</t>
  </si>
  <si>
    <t>Nunez, Keyla</t>
  </si>
  <si>
    <t>Robles, Isla</t>
  </si>
  <si>
    <t>Willis, Kassandra</t>
  </si>
  <si>
    <t>Jensen, Jagger</t>
  </si>
  <si>
    <t>Mata, Emilie</t>
  </si>
  <si>
    <t>Webb, Sergio</t>
  </si>
  <si>
    <t>Neal, Reilly</t>
  </si>
  <si>
    <t>Montoya, Briana</t>
  </si>
  <si>
    <t>Kennedy, Nick</t>
  </si>
  <si>
    <t>Sharp, Baron</t>
  </si>
  <si>
    <t>Johns, Alessandro</t>
  </si>
  <si>
    <t>Orr, Yurem</t>
  </si>
  <si>
    <t>Peters, Monica</t>
  </si>
  <si>
    <t>Edwards, Celia</t>
  </si>
  <si>
    <t>Nixon, Dashawn</t>
  </si>
  <si>
    <t>Reid, Raul</t>
  </si>
  <si>
    <t>Hurst, Khloe</t>
  </si>
  <si>
    <t>Ochoa, Payten</t>
  </si>
  <si>
    <t>Chapman, Keegan</t>
  </si>
  <si>
    <t>Dawson, Carleigh</t>
  </si>
  <si>
    <t>Dillon, Alisha</t>
  </si>
  <si>
    <t>Fleming, Zavier</t>
  </si>
  <si>
    <t>Burnett, Adalynn</t>
  </si>
  <si>
    <t>Herman, Salvatore</t>
  </si>
  <si>
    <t>Stewart, Harold</t>
  </si>
  <si>
    <t>Nichols, Magdalena</t>
  </si>
  <si>
    <t>Thompson, Donovan</t>
  </si>
  <si>
    <t>Poole, Jair</t>
  </si>
  <si>
    <t>Haney, Gabriela</t>
  </si>
  <si>
    <t>Wang, Donavan</t>
  </si>
  <si>
    <t>Aguirre, Akira</t>
  </si>
  <si>
    <t>Russo, Alfredo</t>
  </si>
  <si>
    <t>Smith, Dominique</t>
  </si>
  <si>
    <t>Rivera, Rayne</t>
  </si>
  <si>
    <t>Marquez, Rodney</t>
  </si>
  <si>
    <t>Powers, Tyrone</t>
  </si>
  <si>
    <t>Howell, Tyson</t>
  </si>
  <si>
    <t>Rodgers, Kingston</t>
  </si>
  <si>
    <t>Finley, Kathy</t>
  </si>
  <si>
    <t>Scott, Demetrius</t>
  </si>
  <si>
    <t>Welch, Jerimiah</t>
  </si>
  <si>
    <t>Santana, Kierra</t>
  </si>
  <si>
    <t>Banks, Hunter</t>
  </si>
  <si>
    <t>Ferrell, Isaias</t>
  </si>
  <si>
    <t>Perkins, Aniya</t>
  </si>
  <si>
    <t>Mann, Campbell</t>
  </si>
  <si>
    <t>Ross, Tobias</t>
  </si>
  <si>
    <t>Blankenship, Kathryn</t>
  </si>
  <si>
    <t>Jennings, Eden</t>
  </si>
  <si>
    <t>Acevedo, Pamela</t>
  </si>
  <si>
    <t>Pratt, Karina</t>
  </si>
  <si>
    <t>Hines, Tanya</t>
  </si>
  <si>
    <t>Harrington, Abby</t>
  </si>
  <si>
    <t>Bailey, Calvin</t>
  </si>
  <si>
    <t>Gould, Ryan</t>
  </si>
  <si>
    <t>Heath, Carlee</t>
  </si>
  <si>
    <t>Dyer, Wyatt</t>
  </si>
  <si>
    <t>Santiago, Carolina</t>
  </si>
  <si>
    <t>Atkins, Alonso</t>
  </si>
  <si>
    <t>Leblanc, Daniel</t>
  </si>
  <si>
    <t>Nielsen, Sage</t>
  </si>
  <si>
    <t>Buck, Joselyn</t>
  </si>
  <si>
    <t>Randolph, Lennon</t>
  </si>
  <si>
    <t>Levy, Tyrell</t>
  </si>
  <si>
    <t>Nelson, Ronnie</t>
  </si>
  <si>
    <t>Campbell, Landon</t>
  </si>
  <si>
    <t>Flynn, Chase</t>
  </si>
  <si>
    <t>Morales, Nataly</t>
  </si>
  <si>
    <t>Blackwell, Lee</t>
  </si>
  <si>
    <t>Sullivan, Mikayla</t>
  </si>
  <si>
    <t>Howe, Lila</t>
  </si>
  <si>
    <t>Avila, Ronald</t>
  </si>
  <si>
    <t>Chaney, Damarion</t>
  </si>
  <si>
    <t>Galvan, Elvis</t>
  </si>
  <si>
    <t>Ayers, Rubi</t>
  </si>
  <si>
    <t>Sandoval, Bailee</t>
  </si>
  <si>
    <t>Klein, Darius</t>
  </si>
  <si>
    <t>Monroe, Dereon</t>
  </si>
  <si>
    <t>Ellison, Desmond</t>
  </si>
  <si>
    <t>Dudley, Kenzie</t>
  </si>
  <si>
    <t>Bass, Carlo</t>
  </si>
  <si>
    <t>Wood, Lilah</t>
  </si>
  <si>
    <t>Pittman, Will</t>
  </si>
  <si>
    <t>Mercado, Jovanny</t>
  </si>
  <si>
    <t>Barajas, Andrea</t>
  </si>
  <si>
    <t>Schwartz, Reuben</t>
  </si>
  <si>
    <t>Michael, Noelle</t>
  </si>
  <si>
    <t>Jackson, Keyon</t>
  </si>
  <si>
    <t>Larsen, Josephine</t>
  </si>
  <si>
    <t>Underwood, Jaycee</t>
  </si>
  <si>
    <t>Huffman, Juliana</t>
  </si>
  <si>
    <t>Osborne, Harley</t>
  </si>
  <si>
    <t>Baird, Carina</t>
  </si>
  <si>
    <t>Alvarez, Raphael</t>
  </si>
  <si>
    <t>Burton, German</t>
  </si>
  <si>
    <t>Matthews, Thalia</t>
  </si>
  <si>
    <t>Estrada, Beckett</t>
  </si>
  <si>
    <t>Le, Paxton</t>
  </si>
  <si>
    <t>Patterson, Parker</t>
  </si>
  <si>
    <t>Pineda, Johanna</t>
  </si>
  <si>
    <t>Mathis, Isiah</t>
  </si>
  <si>
    <t>Leonard, Amira</t>
  </si>
  <si>
    <t>Miranda, Camila</t>
  </si>
  <si>
    <t>Valdez, Addisyn</t>
  </si>
  <si>
    <t>Shelton, Joseph</t>
  </si>
  <si>
    <t>Rich, Yadira</t>
  </si>
  <si>
    <t>Morris, Vanessa</t>
  </si>
  <si>
    <t>Ruiz, Brynn</t>
  </si>
  <si>
    <t>Sherman, Curtis</t>
  </si>
  <si>
    <t>Hickman, Justin</t>
  </si>
  <si>
    <t>Dalton, Tyree</t>
  </si>
  <si>
    <t>Barker, Yadiel</t>
  </si>
  <si>
    <t>Barr, Lorenzo</t>
  </si>
  <si>
    <t>Sawyer, Krista</t>
  </si>
  <si>
    <t>Shepard, Memphis</t>
  </si>
  <si>
    <t>Andersen, Anahi</t>
  </si>
  <si>
    <t>Robinson, Angel</t>
  </si>
  <si>
    <t>Villarreal, Frances</t>
  </si>
  <si>
    <t>Farmer, Adrian</t>
  </si>
  <si>
    <t>Graves, Nathaniel</t>
  </si>
  <si>
    <t>Young, Matteo</t>
  </si>
  <si>
    <t>Kirk, Cassie</t>
  </si>
  <si>
    <t>Braun, Janiyah</t>
  </si>
  <si>
    <t>Bullock, Rex</t>
  </si>
  <si>
    <t>Woodward, Shamar</t>
  </si>
  <si>
    <t>Bernard, London</t>
  </si>
  <si>
    <t>Patton, Todd</t>
  </si>
  <si>
    <t>Higgins, Yamilet</t>
  </si>
  <si>
    <t>Ewing, Leyla</t>
  </si>
  <si>
    <t>Yoder, Mollie</t>
  </si>
  <si>
    <t>Reynolds, Jaylyn</t>
  </si>
  <si>
    <t>Barnes, Jazlynn</t>
  </si>
  <si>
    <t>Garner, Kyler</t>
  </si>
  <si>
    <t>Lambert, Kyleigh</t>
  </si>
  <si>
    <t>Archer, Dallas</t>
  </si>
  <si>
    <t>Newman, Parker</t>
  </si>
  <si>
    <t>Kaiser, Ana</t>
  </si>
  <si>
    <t>Rios, Shyla</t>
  </si>
  <si>
    <t>Colon, Derick</t>
  </si>
  <si>
    <t>Quinn, Rylee</t>
  </si>
  <si>
    <t>Molina, Esteban</t>
  </si>
  <si>
    <t>Sexton, Phoebe</t>
  </si>
  <si>
    <t>Stephens, Cedric</t>
  </si>
  <si>
    <t>Kerr, Sandra</t>
  </si>
  <si>
    <t>Murphy, Elisa</t>
  </si>
  <si>
    <t>Weaver, Rose</t>
  </si>
  <si>
    <t>Alexander, Alfonso</t>
  </si>
  <si>
    <t>Wong, Anabella</t>
  </si>
  <si>
    <t>Prince, Zayne</t>
  </si>
  <si>
    <t>Nolan, Lindsey</t>
  </si>
  <si>
    <t>Mueller, Annabella</t>
  </si>
  <si>
    <t>Buchanan, Simone</t>
  </si>
  <si>
    <t>Cantrell, Samuel</t>
  </si>
  <si>
    <t>Hartman, Leia</t>
  </si>
  <si>
    <t>Orozco, Janiah</t>
  </si>
  <si>
    <t>Walter, Arturo</t>
  </si>
  <si>
    <t>Cochran, Terrance</t>
  </si>
  <si>
    <t>Rasmussen, Kiersten</t>
  </si>
  <si>
    <t>Griffith, Travis</t>
  </si>
  <si>
    <t>Contreras, Roman</t>
  </si>
  <si>
    <t>Walters, Juan</t>
  </si>
  <si>
    <t>Valentine, Gary</t>
  </si>
  <si>
    <t>Mason, Stephanie</t>
  </si>
  <si>
    <t>Faulkner, Harley</t>
  </si>
  <si>
    <t>Hogan, Allisson</t>
  </si>
  <si>
    <t>Potter, Brielle</t>
  </si>
  <si>
    <t>Haas, Georgia</t>
  </si>
  <si>
    <t>Anderson, Kayden</t>
  </si>
  <si>
    <t>Lara, Jordan</t>
  </si>
  <si>
    <t>Fletcher, Helena</t>
  </si>
  <si>
    <t>Patel, Yuliana</t>
  </si>
  <si>
    <t>Bruce, Konnor</t>
  </si>
  <si>
    <t>Snow, Kane</t>
  </si>
  <si>
    <t>Small, Victor</t>
  </si>
  <si>
    <t>Bennett, Abbey</t>
  </si>
  <si>
    <t>Middleton, Marisol</t>
  </si>
  <si>
    <t>Hendrix, Ernest</t>
  </si>
  <si>
    <t>Pope, Gabrielle</t>
  </si>
  <si>
    <t>Nguyen, Iyana</t>
  </si>
  <si>
    <t>Carson, Aditya</t>
  </si>
  <si>
    <t>Graham, Simon</t>
  </si>
  <si>
    <t>Glover, Jaime</t>
  </si>
  <si>
    <t>Golden, Baylee</t>
  </si>
  <si>
    <t>Brandt, Gunnar</t>
  </si>
  <si>
    <t>Vega, Lea</t>
  </si>
  <si>
    <t>Rosario, Russell</t>
  </si>
  <si>
    <t>Stafford, Gretchen</t>
  </si>
  <si>
    <t>Good, Marissa</t>
  </si>
  <si>
    <t>Ward, Ashlynn</t>
  </si>
  <si>
    <t>Gamble, Leilani</t>
  </si>
  <si>
    <t>Curry, Madalynn</t>
  </si>
  <si>
    <t>Schaefer, Frederick</t>
  </si>
  <si>
    <t>Riggs, Christopher</t>
  </si>
  <si>
    <t>Singleton, Faith</t>
  </si>
  <si>
    <t>Velazquez, Aubree</t>
  </si>
  <si>
    <t>Hester, Maximillian</t>
  </si>
  <si>
    <t>Saunders, Diya</t>
  </si>
  <si>
    <t>Dunlap, Derrick</t>
  </si>
  <si>
    <t>Robbins, Carlie</t>
  </si>
  <si>
    <t>Richard, Aryana</t>
  </si>
  <si>
    <t>Barton, Edward</t>
  </si>
  <si>
    <t>Fitzgerald, Tripp</t>
  </si>
  <si>
    <t>Knox, Amya</t>
  </si>
  <si>
    <t>Cannon, Salvador</t>
  </si>
  <si>
    <t>Yates, Mina</t>
  </si>
  <si>
    <t>Ballard, Laney</t>
  </si>
  <si>
    <t>Juarez, Mira</t>
  </si>
  <si>
    <t>Henry, Ryann</t>
  </si>
  <si>
    <t>Bishop, Allie</t>
  </si>
  <si>
    <t>Wiley, Marley</t>
  </si>
  <si>
    <t>Lam, Sydnee</t>
  </si>
  <si>
    <t>Russell, Mauricio</t>
  </si>
  <si>
    <t>Nicholson, Duncan</t>
  </si>
  <si>
    <t>Marks, Jaylee</t>
  </si>
  <si>
    <t>Mayer, Gwendolyn</t>
  </si>
  <si>
    <t>Peck, Aleah</t>
  </si>
  <si>
    <t>Coleman, Milo</t>
  </si>
  <si>
    <t>Todd, Livia</t>
  </si>
  <si>
    <t>Woodard, Eleanor</t>
  </si>
  <si>
    <t>Hinton, Jovanni</t>
  </si>
  <si>
    <t>Friedman, Griffin</t>
  </si>
  <si>
    <t>Proctor, Aubrey</t>
  </si>
  <si>
    <t>Bartlett, Bryant</t>
  </si>
  <si>
    <t>Dougherty, Amina</t>
  </si>
  <si>
    <t>Spencer, Margaret</t>
  </si>
  <si>
    <t>Mosley, Damien</t>
  </si>
  <si>
    <t>Forbes, Amari</t>
  </si>
  <si>
    <t>Meyer, Jenna</t>
  </si>
  <si>
    <t>Arnold, Emmalee</t>
  </si>
  <si>
    <t>Collier, Leonel</t>
  </si>
  <si>
    <t>Burch, Clara</t>
  </si>
  <si>
    <t>Berry, Jackson</t>
  </si>
  <si>
    <t>Brewer, Bailey</t>
  </si>
  <si>
    <t>Sheppard, Brennen</t>
  </si>
  <si>
    <t>Little, Maverick</t>
  </si>
  <si>
    <t>Keith, Connor</t>
  </si>
  <si>
    <t>Lewis, Randy</t>
  </si>
  <si>
    <t>Parrish, Alondra</t>
  </si>
  <si>
    <t>Bentley, Valentino</t>
  </si>
  <si>
    <t>Sutton, Araceli</t>
  </si>
  <si>
    <t>Mathews, Aspen</t>
  </si>
  <si>
    <t>Booth, Braylen</t>
  </si>
  <si>
    <t>Hamilton, Zane</t>
  </si>
  <si>
    <t>Villa, Cade</t>
  </si>
  <si>
    <t>Salazar, Adrien</t>
  </si>
  <si>
    <t>Goodwin, George</t>
  </si>
  <si>
    <t>Roy, Gavyn</t>
  </si>
  <si>
    <t>Roman, Hamza</t>
  </si>
  <si>
    <t>Steele, James</t>
  </si>
  <si>
    <t>Camacho, Alina</t>
  </si>
  <si>
    <t>Tapia, Amir</t>
  </si>
  <si>
    <t>Warner, Bernard</t>
  </si>
  <si>
    <t>Bray, Skyler</t>
  </si>
  <si>
    <t>Hubbard, Cecelia</t>
  </si>
  <si>
    <t>Reilly, Kaylen</t>
  </si>
  <si>
    <t>Fisher, Ariella</t>
  </si>
  <si>
    <t>Yang, Cole</t>
  </si>
  <si>
    <t>Osborn, Breanna</t>
  </si>
  <si>
    <t>Jones, Kameron</t>
  </si>
  <si>
    <t>Chan, Santino</t>
  </si>
  <si>
    <t>Herring, Cordell</t>
  </si>
  <si>
    <t>Cox, Hadassah</t>
  </si>
  <si>
    <t>Lin, Layne</t>
  </si>
  <si>
    <t>Frey, Zaiden</t>
  </si>
  <si>
    <t>Shah, Rachael</t>
  </si>
  <si>
    <t>Weeks, Kamila</t>
  </si>
  <si>
    <t>Branch, Clinton</t>
  </si>
  <si>
    <t>Haynes, Kolton</t>
  </si>
  <si>
    <t>Romero, Gideon</t>
  </si>
  <si>
    <t>Wilkerson, Lorelai</t>
  </si>
  <si>
    <t>Choi, Robert</t>
  </si>
  <si>
    <t>Davis, Agustin</t>
  </si>
  <si>
    <t>Landry, Mary</t>
  </si>
  <si>
    <t>Bond, Rosemary</t>
  </si>
  <si>
    <t>Gill, Eduardo</t>
  </si>
  <si>
    <t>Merritt, Francesca</t>
  </si>
  <si>
    <t>Brown, Hayley</t>
  </si>
  <si>
    <t>Gomez, Prince</t>
  </si>
  <si>
    <t>Hill, Corinne</t>
  </si>
  <si>
    <t>Duarte, Laci</t>
  </si>
  <si>
    <t>Conway, Naima</t>
  </si>
  <si>
    <t>Vance, Fiona</t>
  </si>
  <si>
    <t>Gordon, Giuliana</t>
  </si>
  <si>
    <t>Hughes, Abril</t>
  </si>
  <si>
    <t>Kelly, Kristina</t>
  </si>
  <si>
    <t>Hooper, Kaitlynn</t>
  </si>
  <si>
    <t>Hayden, Selah</t>
  </si>
  <si>
    <t>Sellers, Nathen</t>
  </si>
  <si>
    <t>Meadows, Shane</t>
  </si>
  <si>
    <t>Lutz, June</t>
  </si>
  <si>
    <t>Logan, Timothy</t>
  </si>
  <si>
    <t>Newton, Stella</t>
  </si>
  <si>
    <t>Sanford, Sonia</t>
  </si>
  <si>
    <t>Carpenter, Tommy</t>
  </si>
  <si>
    <t>Foley, Jadon</t>
  </si>
  <si>
    <t>Caldwell, Alena</t>
  </si>
  <si>
    <t>Calderon, Coleman</t>
  </si>
  <si>
    <t>Pierce, Kayden</t>
  </si>
  <si>
    <t>Barber, Alexis</t>
  </si>
  <si>
    <t>Kelley, Beatrice</t>
  </si>
  <si>
    <t>Vargas, Evan</t>
  </si>
  <si>
    <t>Schmitt, Rhianna</t>
  </si>
  <si>
    <t>Compton, Houston</t>
  </si>
  <si>
    <t>Reed, Jaylen</t>
  </si>
  <si>
    <t>Dickson, Raelynn</t>
  </si>
  <si>
    <t>Bush, Damion</t>
  </si>
  <si>
    <t>Bryant, Hillary</t>
  </si>
  <si>
    <t>Hampton, Hazel</t>
  </si>
  <si>
    <t>Carney, Jared</t>
  </si>
  <si>
    <t>Copeland, Ashlee</t>
  </si>
  <si>
    <t>Shea, Khalil</t>
  </si>
  <si>
    <t>Huynh, Asia</t>
  </si>
  <si>
    <t>George, Mackenzie</t>
  </si>
  <si>
    <t>Phillips, Penelope</t>
  </si>
  <si>
    <t>Fernandez, Myles</t>
  </si>
  <si>
    <t>Zuniga, Braiden</t>
  </si>
  <si>
    <t>Allen, Dean</t>
  </si>
  <si>
    <t>Schmidt, Skye</t>
  </si>
  <si>
    <t>Washington, Konner</t>
  </si>
  <si>
    <t>Williamson, Liam</t>
  </si>
  <si>
    <t>Navarro, Johnathon</t>
  </si>
  <si>
    <t>Olson, Karter</t>
  </si>
  <si>
    <t>Espinoza, Sawyer</t>
  </si>
  <si>
    <t>Howard, Eddie</t>
  </si>
  <si>
    <t>Burke, Roselyn</t>
  </si>
  <si>
    <t>Riddle, Chance</t>
  </si>
  <si>
    <t>Herrera, Jasiah</t>
  </si>
  <si>
    <t>Chase, Emely</t>
  </si>
  <si>
    <t>Pennington, Vicente</t>
  </si>
  <si>
    <t>Strong, Nia</t>
  </si>
  <si>
    <t>Cruz, Cruz</t>
  </si>
  <si>
    <t>Chen, Madisyn</t>
  </si>
  <si>
    <t>Sparks, Catherine</t>
  </si>
  <si>
    <t>Maddox, Irene</t>
  </si>
  <si>
    <t>Hobbs, Francisco</t>
  </si>
  <si>
    <t>Massey, Elle</t>
  </si>
  <si>
    <t>Pacheco, Adison</t>
  </si>
  <si>
    <t>Gates, Waylon</t>
  </si>
  <si>
    <t>Summers, Immanuel</t>
  </si>
  <si>
    <t>Cabrera, Charity</t>
  </si>
  <si>
    <t>Tran, Landen</t>
  </si>
  <si>
    <t>Wells, Jordin</t>
  </si>
  <si>
    <t>Franco, Brady</t>
  </si>
  <si>
    <t>Dorsey, Kyson</t>
  </si>
  <si>
    <t>Terry, Jade</t>
  </si>
  <si>
    <t>Ware, Adelaide</t>
  </si>
  <si>
    <t>Wise, Gauge</t>
  </si>
  <si>
    <t>Lucero, Judah</t>
  </si>
  <si>
    <t>Rogers, Bianca</t>
  </si>
  <si>
    <t>Short, Jaden</t>
  </si>
  <si>
    <t>Morrison, Shayna</t>
  </si>
  <si>
    <t>Petty, Taylor</t>
  </si>
  <si>
    <t>Mack, Ishaan</t>
  </si>
  <si>
    <t>Andrews, Cristofer</t>
  </si>
  <si>
    <t>Stanton, Mohamed</t>
  </si>
  <si>
    <t>Sweeney, Alex</t>
  </si>
  <si>
    <t>Novak, Lucian</t>
  </si>
  <si>
    <t>Shepherd, Isabela</t>
  </si>
  <si>
    <t>Church, Eva</t>
  </si>
  <si>
    <t>Hull, Mallory</t>
  </si>
  <si>
    <t>Mitchell, River</t>
  </si>
  <si>
    <t>Glass, Stephen</t>
  </si>
  <si>
    <t>Escobar, Gemma</t>
  </si>
  <si>
    <t>Hansen, Ansley</t>
  </si>
  <si>
    <t>Carroll, Serenity</t>
  </si>
  <si>
    <t>Stein, Ashleigh</t>
  </si>
  <si>
    <t>Knapp, Jack</t>
  </si>
  <si>
    <t>Carlson, Edgar</t>
  </si>
  <si>
    <t>Terrell, Noe</t>
  </si>
  <si>
    <t>Holder, Claudia</t>
  </si>
  <si>
    <t>Cooke, Jefferson</t>
  </si>
  <si>
    <t>Gonzales, Darren</t>
  </si>
  <si>
    <t>Tanner, Jorge</t>
  </si>
  <si>
    <t>Gregory, Brenden</t>
  </si>
  <si>
    <t>Gonzalez, Talan</t>
  </si>
  <si>
    <t>Morse, Savannah</t>
  </si>
  <si>
    <t>Boyd, Isis</t>
  </si>
  <si>
    <t>Lee, Fletcher</t>
  </si>
  <si>
    <t>Hunter, Elsie</t>
  </si>
  <si>
    <t>Stone, Kaylynn</t>
  </si>
  <si>
    <t>Levine, Meredith</t>
  </si>
  <si>
    <t>Norton, Kobe</t>
  </si>
  <si>
    <t>Bolton, Bo</t>
  </si>
  <si>
    <t>Fritz, Rigoberto</t>
  </si>
  <si>
    <t>Deleon, Darien</t>
  </si>
  <si>
    <t>Meza, Ernesto</t>
  </si>
  <si>
    <t>Sloan, Nigel</t>
  </si>
  <si>
    <t>Walls, Eve</t>
  </si>
  <si>
    <t>Lloyd, Gracelyn</t>
  </si>
  <si>
    <t>Malone, Karla</t>
  </si>
  <si>
    <t>Kramer, Paisley</t>
  </si>
  <si>
    <t>Spears, Riley</t>
  </si>
  <si>
    <t>Mullins, Aracely</t>
  </si>
  <si>
    <t>Villanueva, Miles</t>
  </si>
  <si>
    <t>Turner, Finnegan</t>
  </si>
  <si>
    <t>Holden, Jaidyn</t>
  </si>
  <si>
    <t>Adams, Melody</t>
  </si>
  <si>
    <t>Ayala, Alan</t>
  </si>
  <si>
    <t>Wright, Jaida</t>
  </si>
  <si>
    <t>Flores, Izaiah</t>
  </si>
  <si>
    <t>Walker, Jesus</t>
  </si>
  <si>
    <t>Hodge, Leticia</t>
  </si>
  <si>
    <t>Curtis, Jordan</t>
  </si>
  <si>
    <t>Parsons, Jacqueline</t>
  </si>
  <si>
    <t>Murillo, Zaid</t>
  </si>
  <si>
    <t>Potts, Anastasia</t>
  </si>
  <si>
    <t>Rice, Pierce</t>
  </si>
  <si>
    <t>Mejia, Ellis</t>
  </si>
  <si>
    <t>Li, Kaylie</t>
  </si>
  <si>
    <t>Moran, Julio</t>
  </si>
  <si>
    <t>Butler, Erica</t>
  </si>
  <si>
    <t>Kline, Janae</t>
  </si>
  <si>
    <t>Liu, Jamarion</t>
  </si>
  <si>
    <t>Marshall, Ella</t>
  </si>
  <si>
    <t>Martin, Aurora</t>
  </si>
  <si>
    <t>Best, Jazmine</t>
  </si>
  <si>
    <t>Leon, Camryn</t>
  </si>
  <si>
    <t>English, Precious</t>
  </si>
  <si>
    <t>Cervantes, Alejandra</t>
  </si>
  <si>
    <t>Hawkins, Moshe</t>
  </si>
  <si>
    <t>Cherry, Vaughn</t>
  </si>
  <si>
    <t>Castillo, Zaniyah</t>
  </si>
  <si>
    <t>Winters, Sarah</t>
  </si>
  <si>
    <t>Holt, Mariyah</t>
  </si>
  <si>
    <t>Mendoza, Kianna</t>
  </si>
  <si>
    <t>Hernandez, Tamara</t>
  </si>
  <si>
    <t>Torres, Jason</t>
  </si>
  <si>
    <t>Tyler, Conner</t>
  </si>
  <si>
    <t>Farley, Noah</t>
  </si>
  <si>
    <t>Phelps, Philip</t>
  </si>
  <si>
    <t>Jefferson, Nelson</t>
  </si>
  <si>
    <t>Garcia, Jamir</t>
  </si>
  <si>
    <t>Melton, Madeleine</t>
  </si>
  <si>
    <t>Page, Hugo</t>
  </si>
  <si>
    <t>Green, Karlie</t>
  </si>
  <si>
    <t>Chung, Ray</t>
  </si>
  <si>
    <t>Lowe, Sasha</t>
  </si>
  <si>
    <t>Ferguson, Douglas</t>
  </si>
  <si>
    <t>Krueger, Averi</t>
  </si>
  <si>
    <t>Murray, Mason</t>
  </si>
  <si>
    <t>Arroyo, Emilee</t>
  </si>
  <si>
    <t>Francis, Greta</t>
  </si>
  <si>
    <t>Paul, Nico</t>
  </si>
  <si>
    <t>Galloway, Ulises</t>
  </si>
  <si>
    <t>Rosales, Mohammad</t>
  </si>
  <si>
    <t>Daugherty, Camron</t>
  </si>
  <si>
    <t>Doyle, Nayeli</t>
  </si>
  <si>
    <t>Moore, Nathalie</t>
  </si>
  <si>
    <t>Drake, Gerardo</t>
  </si>
  <si>
    <t>Boyle, Hannah</t>
  </si>
  <si>
    <t>Bates, Giselle</t>
  </si>
  <si>
    <t>Duran, Ricardo</t>
  </si>
  <si>
    <t>Conner, Ethan</t>
  </si>
  <si>
    <t>Cain, Luke</t>
  </si>
  <si>
    <t>Bender, Jermaine</t>
  </si>
  <si>
    <t>Glenn, Aimee</t>
  </si>
  <si>
    <t>Ponce, Gianni</t>
  </si>
  <si>
    <t>Haley, Trevor</t>
  </si>
  <si>
    <t>Rangel, Kassidy</t>
  </si>
  <si>
    <t>Brennan, Jonathon</t>
  </si>
  <si>
    <t>Roberson, Mathew</t>
  </si>
  <si>
    <t>Sims, Meghan</t>
  </si>
  <si>
    <t>Roth, Isaac</t>
  </si>
  <si>
    <t>Richmond, Juliet</t>
  </si>
  <si>
    <t>Meyers, Giovanny</t>
  </si>
  <si>
    <t>Wolf, Keith</t>
  </si>
  <si>
    <t>Lynn, Nathaly</t>
  </si>
  <si>
    <t>Kent, Jovani</t>
  </si>
  <si>
    <t>Randall, Kendall</t>
  </si>
  <si>
    <t>Gilbert, Dale</t>
  </si>
  <si>
    <t>Carrillo, Annalise</t>
  </si>
  <si>
    <t>Guzman, Brenna</t>
  </si>
  <si>
    <t>Ibarra, Adonis</t>
  </si>
  <si>
    <t>Reeves, Mohammed</t>
  </si>
  <si>
    <t>Ramos, Hallie</t>
  </si>
  <si>
    <t>King, Ronin</t>
  </si>
  <si>
    <t>Vaughan, Davis</t>
  </si>
  <si>
    <t>Hunt, Camren</t>
  </si>
  <si>
    <t>Zhang, Ada</t>
  </si>
  <si>
    <t>Ashley, Mylee</t>
  </si>
  <si>
    <t>Stout, Amaya</t>
  </si>
  <si>
    <t>Gibson, Madelynn</t>
  </si>
  <si>
    <t>Bowman, Alyvia</t>
  </si>
  <si>
    <t>Norman, Ellen</t>
  </si>
  <si>
    <t>Gilmore, Casey</t>
  </si>
  <si>
    <t>Hanson, Camryn</t>
  </si>
  <si>
    <t>Conrad, Jayce</t>
  </si>
  <si>
    <t>Mooney, Brycen</t>
  </si>
  <si>
    <t>Bradshaw, Adrianna</t>
  </si>
  <si>
    <t>Frazier, Kasen</t>
  </si>
  <si>
    <t>Watched Webinar</t>
  </si>
  <si>
    <t>Date of 1st Purchase</t>
  </si>
  <si>
    <t>Total 1yr Purch, net</t>
  </si>
  <si>
    <t>Sign-up Date</t>
  </si>
  <si>
    <t>Purch &lt;30d post-web</t>
  </si>
  <si>
    <t>Purch &lt;30d post-email</t>
  </si>
  <si>
    <t>Purch &lt;15d post-email</t>
  </si>
  <si>
    <t>Sent e-book email</t>
  </si>
  <si>
    <t>Sent 20% email</t>
  </si>
  <si>
    <t>Lead Source</t>
  </si>
  <si>
    <t>Net Promoter Score</t>
  </si>
  <si>
    <t>Score</t>
  </si>
  <si>
    <t>NPS</t>
  </si>
  <si>
    <t>Avg 1yr purch</t>
  </si>
  <si>
    <t>Customer Lifetime Value</t>
  </si>
  <si>
    <t>Gross profit</t>
  </si>
  <si>
    <t>Customer ret</t>
  </si>
  <si>
    <t>Discount rate</t>
  </si>
  <si>
    <t>CLV</t>
  </si>
  <si>
    <t>How did you first hear about this product?</t>
  </si>
  <si>
    <t>Article</t>
  </si>
  <si>
    <t>Conference</t>
  </si>
  <si>
    <t>Web search</t>
  </si>
  <si>
    <t>Online Ad</t>
  </si>
  <si>
    <t>Other</t>
  </si>
  <si>
    <t>How likely are you to buy another product from us?</t>
  </si>
  <si>
    <t>Very likely</t>
  </si>
  <si>
    <t>Not sure</t>
  </si>
  <si>
    <t>Likely</t>
  </si>
  <si>
    <t>Not likely</t>
  </si>
  <si>
    <t>Never again</t>
  </si>
  <si>
    <t>If you are not likely to buy another product, what's the main reason?</t>
  </si>
  <si>
    <t>Too expensive</t>
  </si>
  <si>
    <t>Didn't meet expectations</t>
  </si>
  <si>
    <t>Don’t need any more</t>
  </si>
  <si>
    <t>Low quality</t>
  </si>
  <si>
    <t>First touch point</t>
  </si>
  <si>
    <t>Source</t>
  </si>
  <si>
    <t>Likelihood</t>
  </si>
  <si>
    <t># Touch Pts</t>
  </si>
  <si>
    <t>Repeat</t>
  </si>
  <si>
    <t>Prospects</t>
  </si>
  <si>
    <t>Total investment</t>
  </si>
  <si>
    <t># Customers</t>
  </si>
  <si>
    <t>% Lead Conversion</t>
  </si>
  <si>
    <t>% Customer Conversion</t>
  </si>
  <si>
    <t>Avg 1yr Purch, net</t>
  </si>
  <si>
    <t>Retention</t>
  </si>
  <si>
    <t>Cust Acq $</t>
  </si>
  <si>
    <t>CLV, net</t>
  </si>
  <si>
    <t>Days to purch</t>
  </si>
  <si>
    <t>Customers Acquired per $1,000 Spend</t>
  </si>
  <si>
    <t>Cost per Prospect</t>
  </si>
  <si>
    <t>Cost per Prosp</t>
  </si>
  <si>
    <t># Prospects</t>
  </si>
  <si>
    <t>Customer CVR %</t>
  </si>
  <si>
    <t>Mthly Ad $</t>
  </si>
  <si>
    <t>Avg 1yr Purch</t>
  </si>
  <si>
    <t>New Cust</t>
  </si>
  <si>
    <t>Proposal</t>
  </si>
  <si>
    <t>Age</t>
  </si>
  <si>
    <t>Age Group</t>
  </si>
  <si>
    <t>18-25</t>
  </si>
  <si>
    <t>26-35</t>
  </si>
  <si>
    <t>36-45</t>
  </si>
  <si>
    <t>46-55</t>
  </si>
  <si>
    <t>55+</t>
  </si>
  <si>
    <t>Avg Age</t>
  </si>
  <si>
    <t>Facebook Organic</t>
  </si>
  <si>
    <t>LinkedIn Ad</t>
  </si>
  <si>
    <t>LinkedIn Organic</t>
  </si>
  <si>
    <t>Twitter Organic</t>
  </si>
  <si>
    <t>Facebook Ad</t>
  </si>
  <si>
    <t>LinkedIn</t>
  </si>
  <si>
    <t>Social Mgr Salary</t>
  </si>
  <si>
    <t>Social Media Mgr Salary</t>
  </si>
  <si>
    <t>Social Media Tools</t>
  </si>
  <si>
    <t>Spotify Ad</t>
  </si>
  <si>
    <t>New Customers</t>
  </si>
  <si>
    <t>Organic Customer Acquisition</t>
  </si>
  <si>
    <t>Followers</t>
  </si>
  <si>
    <t>New Prospects</t>
  </si>
  <si>
    <t>Existing Cust CVR</t>
  </si>
  <si>
    <t>CVR Increase</t>
  </si>
  <si>
    <t>Scenario Cust CVR</t>
  </si>
  <si>
    <t>Current Salary Allocation</t>
  </si>
  <si>
    <t>Total Revenue</t>
  </si>
  <si>
    <t>Cumulative Expenses</t>
  </si>
  <si>
    <t>Cumulative</t>
  </si>
  <si>
    <t>Churn</t>
  </si>
  <si>
    <t>Revenue</t>
  </si>
  <si>
    <t>Total Customers</t>
  </si>
  <si>
    <t>Net Income</t>
  </si>
  <si>
    <t>ROI</t>
  </si>
  <si>
    <t>Potential new ad sources</t>
  </si>
  <si>
    <t>Social Media Revenue &amp; Customers</t>
  </si>
  <si>
    <t>Social Media Expenses</t>
  </si>
  <si>
    <t>Total Social Media Exp</t>
  </si>
  <si>
    <t>Assumptions</t>
  </si>
  <si>
    <t>Scenario:</t>
  </si>
  <si>
    <t>Current Followers</t>
  </si>
  <si>
    <t>Growth w/o SM Mgr</t>
  </si>
  <si>
    <t>Monthly Growth</t>
  </si>
  <si>
    <t>Scenario Growth</t>
  </si>
  <si>
    <t xml:space="preserve"> New Fllwr CVR %</t>
  </si>
  <si>
    <t>Paid Customer Acquisition</t>
  </si>
  <si>
    <t>Returns Summary</t>
  </si>
  <si>
    <t>Breakeven Month</t>
  </si>
  <si>
    <t>Net Profit</t>
  </si>
  <si>
    <t>Cumulative Net Profit</t>
  </si>
  <si>
    <t>Total New Customers</t>
  </si>
  <si>
    <t>Social Media Followers</t>
  </si>
  <si>
    <t>Twitter</t>
  </si>
  <si>
    <t>Total Incr</t>
  </si>
  <si>
    <t>Cumulative Revenue</t>
  </si>
  <si>
    <t>Dashboard</t>
  </si>
  <si>
    <t>Facebook Follower Growth</t>
  </si>
  <si>
    <t>LinkedIn Follower Growth</t>
  </si>
  <si>
    <t>AdWords Conversion Increase</t>
  </si>
  <si>
    <t>Facebook Conversion Increase</t>
  </si>
  <si>
    <t>PPC Analysis</t>
  </si>
  <si>
    <t>If so, which?</t>
  </si>
  <si>
    <t>If so, which campaigns?</t>
  </si>
  <si>
    <t>Are any particular campaigns skewing our data?</t>
  </si>
  <si>
    <t>Which PPC source has the highest click-through-rate?</t>
  </si>
  <si>
    <t>Which PPC source has the lowest cost-per-click?</t>
  </si>
  <si>
    <t>Which PPC source has the highest conversions of clicks to leads?</t>
  </si>
  <si>
    <t>Based on this information, is one PPC ad type better than another?</t>
  </si>
  <si>
    <t>Which platform has the cheapest lead acquisition cost?</t>
  </si>
  <si>
    <t>Why might Facebook have a higher conversion rate?</t>
  </si>
  <si>
    <t>AdWords is mainly attracting which age demographic?</t>
  </si>
  <si>
    <t>Facebook is mainly attracting which age demographic?</t>
  </si>
  <si>
    <t>CLV net</t>
  </si>
  <si>
    <t>With the information we have right now, what would your PPC recommendation be?</t>
  </si>
  <si>
    <t>VLOOKUP Table</t>
  </si>
  <si>
    <t>Lead-to-Customer Data</t>
  </si>
  <si>
    <t>PPC Campaigns 4/1/17 - 6/30/17</t>
  </si>
  <si>
    <t>Post-Course Completion Survey Data</t>
  </si>
  <si>
    <t>Why do you think Facebook is doing a better job at attracting Mills?</t>
  </si>
  <si>
    <t>What could be one reason we should keep AdWords going?</t>
  </si>
  <si>
    <t>Which channel is best with word of mouth?</t>
  </si>
  <si>
    <t>Which channel is best with web searches?</t>
  </si>
  <si>
    <t>What is another reason to keep AdWords?</t>
  </si>
  <si>
    <t>Why would Facebook garner more loyalty?</t>
  </si>
  <si>
    <t>Does all the information we've gathered give you any ideas about social media's role at the company?</t>
  </si>
  <si>
    <t>Existing Retention</t>
  </si>
  <si>
    <t>Retention Increase</t>
  </si>
  <si>
    <t>- Your boss makes you the full-time social media manager</t>
  </si>
  <si>
    <t>- You become very active on Facebook, LinkedIn, and Twitter and start engaging your followers</t>
  </si>
  <si>
    <t>- You start running LinkedIn ads and Spotify ads to increase followers and customers</t>
  </si>
  <si>
    <t>- Ad data will be analyzed monthly to determine the best ads that lead to the highest outcomes</t>
  </si>
  <si>
    <t>Current Data</t>
  </si>
  <si>
    <t>Click-through-rate</t>
  </si>
  <si>
    <t>Cost-per-click</t>
  </si>
  <si>
    <t>Cost per lead</t>
  </si>
  <si>
    <t>Lead-to customer conversion</t>
  </si>
  <si>
    <t>Click-to-lead conversion</t>
  </si>
  <si>
    <t>Customer acquisition cost</t>
  </si>
  <si>
    <t>Customer lifetime value</t>
  </si>
  <si>
    <t>Net promoter score</t>
  </si>
  <si>
    <t>Likelihood of buying again</t>
  </si>
  <si>
    <t>Difference</t>
  </si>
  <si>
    <t>Winner</t>
  </si>
  <si>
    <t>Channel Type</t>
  </si>
  <si>
    <t>Mthly Ad Spend</t>
  </si>
  <si>
    <t>Cust CVR Increase</t>
  </si>
  <si>
    <t>Key Assumptions</t>
  </si>
  <si>
    <t>Mthly Follower Growth</t>
  </si>
  <si>
    <t>The Results</t>
  </si>
  <si>
    <t>Status quo</t>
  </si>
  <si>
    <t>Social media manager</t>
  </si>
  <si>
    <t>Cum. Revenue</t>
  </si>
  <si>
    <t>Cum. Net Income</t>
  </si>
  <si>
    <t>Increase/(Decrease)</t>
  </si>
  <si>
    <t>% Change</t>
  </si>
  <si>
    <t>ROI: Facebook conversion increase vs. AdWords conversion increase</t>
  </si>
  <si>
    <t>PPC and Social Media Campaign Overview</t>
  </si>
  <si>
    <t>Cash Flow and User Projections</t>
  </si>
  <si>
    <t>AdWords Campaign ID</t>
  </si>
  <si>
    <t>AdWords Impressions</t>
  </si>
  <si>
    <t>AdWords Clicks</t>
  </si>
  <si>
    <t>AdWords Cost</t>
  </si>
  <si>
    <t>AdWords CTR</t>
  </si>
  <si>
    <t>AdWords Conversions</t>
  </si>
  <si>
    <t>AdWords CVR</t>
  </si>
  <si>
    <t>Ramsey, Michael</t>
  </si>
  <si>
    <t>Campos, Gavin</t>
  </si>
  <si>
    <t>O'Donnell, Cristina</t>
  </si>
  <si>
    <t>McCann, Mario</t>
  </si>
  <si>
    <t>McFarland, Ty</t>
  </si>
  <si>
    <t>McKinney, Urijah</t>
  </si>
  <si>
    <t>McClure, Jordyn</t>
  </si>
  <si>
    <t>House, Trish</t>
  </si>
  <si>
    <t>McBride, Joshua</t>
  </si>
  <si>
    <t>Pugh, Landon</t>
  </si>
  <si>
    <t>Cardenas, Kate</t>
  </si>
  <si>
    <t>Long, Joslyn</t>
  </si>
  <si>
    <t>Macias, McKenna</t>
  </si>
  <si>
    <t>McCarthy, Kendrick</t>
  </si>
  <si>
    <t>McCoy, Katelyn</t>
  </si>
  <si>
    <t>McMahon, Reagan</t>
  </si>
  <si>
    <t>McNeil, Karissa</t>
  </si>
  <si>
    <t>Munoz, Kayden</t>
  </si>
  <si>
    <t>Carry, Jeffrey</t>
  </si>
  <si>
    <t>Manning, Jake</t>
  </si>
  <si>
    <t>McCall, Giana</t>
  </si>
  <si>
    <t>McCarthy, Maia</t>
  </si>
  <si>
    <t>McClain, Bethany</t>
  </si>
  <si>
    <t>McCormick, Wilson</t>
  </si>
  <si>
    <t>McCullough, Brian</t>
  </si>
  <si>
    <t>McDonald, Bruce</t>
  </si>
  <si>
    <t>McGee, Marin</t>
  </si>
  <si>
    <t>Macintosh, Alisa</t>
  </si>
  <si>
    <t>McKay, Carson</t>
  </si>
  <si>
    <t>McKee, Charlie</t>
  </si>
  <si>
    <t>McLaughlin, Aidan</t>
  </si>
  <si>
    <t>McPherson, Luciano</t>
  </si>
  <si>
    <t>O'Connell, Ryleigh</t>
  </si>
  <si>
    <t>O'Neal, Ezra</t>
  </si>
  <si>
    <t>Stuart, McKinley</t>
  </si>
  <si>
    <t>How likely is it that you would recommend this company to a friend or colleague?</t>
  </si>
  <si>
    <t>Friend, family, or colleague</t>
  </si>
  <si>
    <t>Which platform is doing g a better job of attracting Millennials?</t>
  </si>
  <si>
    <t>Likelihood on buying again</t>
  </si>
  <si>
    <t>- You start to tailor promotions to increase the customer retention</t>
  </si>
  <si>
    <t>ROI: Facebook follower growth vs. LinkedIn follower growth</t>
  </si>
  <si>
    <t>Customer Analysis</t>
  </si>
  <si>
    <t>Course Survey Analysis</t>
  </si>
  <si>
    <t>Ad Channel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</si>
</sst>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8" formatCode="&quot;$&quot;#,##0.00_);[Red]\(&quot;$&quot;#,##0.00\)"/>
    <numFmt numFmtId="43" formatCode="_(* #,##0.00_);_(* \(#,##0.00\);_(* &quot;-&quot;??_);_(@_)"/>
    <numFmt numFmtId="164" formatCode="&quot;$&quot;#,##0"/>
    <numFmt numFmtId="165" formatCode="0\ &quot;days&quot;"/>
    <numFmt numFmtId="166" formatCode="0.0"/>
    <numFmt numFmtId="167" formatCode="0.0%"/>
    <numFmt numFmtId="168" formatCode="0.0000"/>
    <numFmt numFmtId="169" formatCode="&quot;$&quot;#,##0.00"/>
    <numFmt numFmtId="170" formatCode="&quot;$&quot;#,##0&quot;/mth&quot;"/>
    <numFmt numFmtId="171" formatCode="&quot;Social media manager&quot;;;&quot;No social media mager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rgb="FF0284BA"/>
      <name val="Calibri"/>
      <family val="2"/>
      <scheme val="minor"/>
    </font>
    <font>
      <b/>
      <i/>
      <sz val="11"/>
      <color rgb="FF0284BA"/>
      <name val="Calibri"/>
      <family val="2"/>
      <scheme val="minor"/>
    </font>
    <font>
      <b/>
      <i/>
      <sz val="12"/>
      <color rgb="FFFC7B17"/>
      <name val="Calibri"/>
      <family val="2"/>
      <scheme val="minor"/>
    </font>
    <font>
      <b/>
      <sz val="12"/>
      <color rgb="FFFC7B17"/>
      <name val="Calibri"/>
      <family val="2"/>
      <scheme val="minor"/>
    </font>
    <font>
      <b/>
      <sz val="11"/>
      <color rgb="FF0284BA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C7B17"/>
      <name val="Calibri"/>
      <family val="2"/>
      <scheme val="minor"/>
    </font>
    <font>
      <b/>
      <i/>
      <sz val="12"/>
      <color rgb="FF0284BA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2"/>
      <color rgb="FF0284BA"/>
      <name val="Calibri"/>
      <family val="2"/>
      <scheme val="minor"/>
    </font>
    <font>
      <b/>
      <i/>
      <sz val="11"/>
      <color rgb="FFFC7B17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284BA"/>
      <name val="Calibri"/>
      <family val="2"/>
      <scheme val="minor"/>
    </font>
    <font>
      <b/>
      <i/>
      <sz val="14"/>
      <color rgb="FFFC7B1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284BA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164" fontId="0" fillId="0" borderId="0" xfId="0" applyNumberFormat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 indent="1"/>
    </xf>
    <xf numFmtId="0" fontId="0" fillId="0" borderId="2" xfId="0" applyBorder="1"/>
    <xf numFmtId="14" fontId="0" fillId="0" borderId="2" xfId="0" applyNumberForma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 indent="1"/>
    </xf>
    <xf numFmtId="9" fontId="0" fillId="0" borderId="0" xfId="1" applyFont="1"/>
    <xf numFmtId="0" fontId="9" fillId="0" borderId="0" xfId="0" applyFont="1"/>
    <xf numFmtId="0" fontId="2" fillId="3" borderId="2" xfId="0" applyFont="1" applyFill="1" applyBorder="1" applyAlignment="1">
      <alignment horizontal="center" wrapText="1"/>
    </xf>
    <xf numFmtId="0" fontId="10" fillId="0" borderId="0" xfId="0" applyFont="1"/>
    <xf numFmtId="0" fontId="11" fillId="0" borderId="0" xfId="0" applyFont="1"/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" fillId="3" borderId="0" xfId="0" applyFont="1" applyFill="1" applyAlignment="1">
      <alignment horizontal="center"/>
    </xf>
    <xf numFmtId="1" fontId="0" fillId="0" borderId="2" xfId="1" applyNumberFormat="1" applyFont="1" applyBorder="1" applyAlignment="1">
      <alignment horizontal="center"/>
    </xf>
    <xf numFmtId="0" fontId="3" fillId="2" borderId="2" xfId="0" applyFont="1" applyFill="1" applyBorder="1" applyAlignment="1">
      <alignment horizontal="left" indent="1"/>
    </xf>
    <xf numFmtId="3" fontId="0" fillId="0" borderId="0" xfId="0" applyNumberFormat="1"/>
    <xf numFmtId="14" fontId="0" fillId="0" borderId="2" xfId="0" applyNumberFormat="1" applyBorder="1"/>
    <xf numFmtId="3" fontId="0" fillId="0" borderId="2" xfId="0" applyNumberFormat="1" applyBorder="1"/>
    <xf numFmtId="169" fontId="0" fillId="0" borderId="2" xfId="0" applyNumberFormat="1" applyBorder="1"/>
    <xf numFmtId="10" fontId="0" fillId="0" borderId="2" xfId="1" applyNumberFormat="1" applyFont="1" applyBorder="1" applyAlignment="1">
      <alignment horizontal="center"/>
    </xf>
    <xf numFmtId="10" fontId="3" fillId="2" borderId="2" xfId="1" applyNumberFormat="1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169" fontId="0" fillId="0" borderId="2" xfId="1" applyNumberFormat="1" applyFont="1" applyBorder="1" applyAlignment="1">
      <alignment horizontal="center"/>
    </xf>
    <xf numFmtId="169" fontId="3" fillId="2" borderId="2" xfId="1" applyNumberFormat="1" applyFont="1" applyFill="1" applyBorder="1" applyAlignment="1">
      <alignment horizontal="center"/>
    </xf>
    <xf numFmtId="169" fontId="3" fillId="0" borderId="0" xfId="0" applyNumberFormat="1" applyFont="1"/>
    <xf numFmtId="169" fontId="0" fillId="0" borderId="1" xfId="0" applyNumberFormat="1" applyBorder="1"/>
    <xf numFmtId="10" fontId="0" fillId="0" borderId="1" xfId="0" applyNumberFormat="1" applyBorder="1"/>
    <xf numFmtId="164" fontId="6" fillId="0" borderId="0" xfId="0" applyNumberFormat="1" applyFont="1"/>
    <xf numFmtId="0" fontId="2" fillId="3" borderId="2" xfId="0" applyFont="1" applyFill="1" applyBorder="1" applyAlignment="1">
      <alignment horizontal="left" wrapText="1"/>
    </xf>
    <xf numFmtId="9" fontId="0" fillId="0" borderId="0" xfId="0" applyNumberFormat="1"/>
    <xf numFmtId="9" fontId="0" fillId="0" borderId="1" xfId="0" applyNumberFormat="1" applyBorder="1"/>
    <xf numFmtId="3" fontId="4" fillId="0" borderId="0" xfId="0" applyNumberFormat="1" applyFont="1"/>
    <xf numFmtId="0" fontId="4" fillId="0" borderId="1" xfId="0" applyFont="1" applyBorder="1"/>
    <xf numFmtId="0" fontId="14" fillId="0" borderId="0" xfId="0" applyFont="1"/>
    <xf numFmtId="10" fontId="14" fillId="0" borderId="0" xfId="0" applyNumberFormat="1" applyFont="1"/>
    <xf numFmtId="3" fontId="14" fillId="0" borderId="3" xfId="0" applyNumberFormat="1" applyFont="1" applyBorder="1"/>
    <xf numFmtId="0" fontId="14" fillId="0" borderId="3" xfId="0" applyFont="1" applyBorder="1"/>
    <xf numFmtId="169" fontId="14" fillId="0" borderId="3" xfId="0" applyNumberFormat="1" applyFont="1" applyBorder="1"/>
    <xf numFmtId="10" fontId="14" fillId="0" borderId="3" xfId="1" applyNumberFormat="1" applyFont="1" applyBorder="1" applyAlignment="1">
      <alignment horizontal="center"/>
    </xf>
    <xf numFmtId="1" fontId="14" fillId="0" borderId="3" xfId="1" applyNumberFormat="1" applyFont="1" applyBorder="1" applyAlignment="1">
      <alignment horizontal="center"/>
    </xf>
    <xf numFmtId="168" fontId="14" fillId="0" borderId="3" xfId="0" applyNumberFormat="1" applyFont="1" applyBorder="1"/>
    <xf numFmtId="10" fontId="14" fillId="0" borderId="3" xfId="0" applyNumberFormat="1" applyFont="1" applyBorder="1"/>
    <xf numFmtId="0" fontId="8" fillId="3" borderId="0" xfId="0" applyFont="1" applyFill="1" applyAlignment="1">
      <alignment horizontal="center"/>
    </xf>
    <xf numFmtId="3" fontId="0" fillId="0" borderId="1" xfId="0" applyNumberFormat="1" applyBorder="1"/>
    <xf numFmtId="0" fontId="7" fillId="0" borderId="0" xfId="0" applyFont="1" applyAlignment="1">
      <alignment horizontal="left" indent="2"/>
    </xf>
    <xf numFmtId="10" fontId="7" fillId="0" borderId="0" xfId="1" applyNumberFormat="1" applyFont="1"/>
    <xf numFmtId="169" fontId="7" fillId="0" borderId="0" xfId="1" applyNumberFormat="1" applyFont="1"/>
    <xf numFmtId="167" fontId="7" fillId="0" borderId="0" xfId="1" applyNumberFormat="1" applyFont="1"/>
    <xf numFmtId="1" fontId="0" fillId="0" borderId="1" xfId="0" applyNumberFormat="1" applyBorder="1"/>
    <xf numFmtId="0" fontId="0" fillId="0" borderId="2" xfId="0" applyBorder="1" applyAlignment="1">
      <alignment horizontal="right"/>
    </xf>
    <xf numFmtId="14" fontId="0" fillId="0" borderId="2" xfId="0" applyNumberFormat="1" applyBorder="1" applyAlignment="1">
      <alignment horizontal="right"/>
    </xf>
    <xf numFmtId="43" fontId="0" fillId="0" borderId="0" xfId="2" applyFont="1"/>
    <xf numFmtId="10" fontId="0" fillId="0" borderId="0" xfId="0" applyNumberFormat="1"/>
    <xf numFmtId="0" fontId="0" fillId="0" borderId="0" xfId="0" applyAlignment="1">
      <alignment horizontal="center"/>
    </xf>
    <xf numFmtId="9" fontId="0" fillId="0" borderId="0" xfId="1" applyFont="1" applyBorder="1" applyAlignment="1">
      <alignment horizontal="center"/>
    </xf>
    <xf numFmtId="10" fontId="0" fillId="0" borderId="2" xfId="0" applyNumberFormat="1" applyBorder="1"/>
    <xf numFmtId="0" fontId="0" fillId="0" borderId="2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165" fontId="0" fillId="0" borderId="2" xfId="0" applyNumberFormat="1" applyBorder="1"/>
    <xf numFmtId="167" fontId="0" fillId="0" borderId="2" xfId="1" applyNumberFormat="1" applyFont="1" applyBorder="1"/>
    <xf numFmtId="9" fontId="6" fillId="0" borderId="1" xfId="0" applyNumberFormat="1" applyFont="1" applyBorder="1"/>
    <xf numFmtId="169" fontId="0" fillId="0" borderId="0" xfId="0" applyNumberFormat="1"/>
    <xf numFmtId="0" fontId="0" fillId="0" borderId="2" xfId="0" quotePrefix="1" applyBorder="1" applyAlignment="1">
      <alignment horizontal="center"/>
    </xf>
    <xf numFmtId="9" fontId="14" fillId="0" borderId="0" xfId="0" applyNumberFormat="1" applyFont="1"/>
    <xf numFmtId="0" fontId="2" fillId="3" borderId="0" xfId="0" applyFont="1" applyFill="1" applyAlignment="1">
      <alignment horizontal="center" wrapText="1"/>
    </xf>
    <xf numFmtId="166" fontId="0" fillId="0" borderId="2" xfId="1" applyNumberFormat="1" applyFont="1" applyBorder="1"/>
    <xf numFmtId="0" fontId="3" fillId="0" borderId="0" xfId="0" quotePrefix="1" applyFont="1"/>
    <xf numFmtId="0" fontId="15" fillId="0" borderId="0" xfId="0" applyFont="1"/>
    <xf numFmtId="3" fontId="0" fillId="0" borderId="2" xfId="0" applyNumberFormat="1" applyBorder="1" applyAlignment="1">
      <alignment horizontal="center"/>
    </xf>
    <xf numFmtId="1" fontId="0" fillId="0" borderId="2" xfId="1" applyNumberFormat="1" applyFont="1" applyBorder="1"/>
    <xf numFmtId="1" fontId="0" fillId="0" borderId="2" xfId="0" quotePrefix="1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7" fontId="0" fillId="0" borderId="2" xfId="1" quotePrefix="1" applyNumberFormat="1" applyFont="1" applyBorder="1" applyAlignment="1">
      <alignment horizontal="center"/>
    </xf>
    <xf numFmtId="164" fontId="0" fillId="0" borderId="2" xfId="0" quotePrefix="1" applyNumberFormat="1" applyBorder="1" applyAlignment="1">
      <alignment horizontal="center"/>
    </xf>
    <xf numFmtId="5" fontId="0" fillId="0" borderId="0" xfId="0" applyNumberFormat="1"/>
    <xf numFmtId="5" fontId="0" fillId="0" borderId="1" xfId="0" applyNumberFormat="1" applyBorder="1"/>
    <xf numFmtId="0" fontId="3" fillId="0" borderId="0" xfId="0" applyFont="1"/>
    <xf numFmtId="164" fontId="3" fillId="0" borderId="0" xfId="0" applyNumberFormat="1" applyFont="1"/>
    <xf numFmtId="5" fontId="3" fillId="0" borderId="0" xfId="0" applyNumberFormat="1" applyFont="1"/>
    <xf numFmtId="8" fontId="0" fillId="0" borderId="0" xfId="0" applyNumberFormat="1"/>
    <xf numFmtId="167" fontId="14" fillId="0" borderId="0" xfId="0" applyNumberFormat="1" applyFont="1"/>
    <xf numFmtId="164" fontId="14" fillId="0" borderId="0" xfId="0" applyNumberFormat="1" applyFont="1"/>
    <xf numFmtId="0" fontId="4" fillId="0" borderId="0" xfId="0" applyFont="1"/>
    <xf numFmtId="167" fontId="0" fillId="0" borderId="0" xfId="1" applyNumberFormat="1" applyFont="1"/>
    <xf numFmtId="1" fontId="0" fillId="0" borderId="0" xfId="0" applyNumberFormat="1"/>
    <xf numFmtId="0" fontId="8" fillId="0" borderId="0" xfId="0" applyFont="1" applyAlignment="1">
      <alignment horizontal="center"/>
    </xf>
    <xf numFmtId="0" fontId="0" fillId="2" borderId="2" xfId="0" applyFill="1" applyBorder="1"/>
    <xf numFmtId="164" fontId="0" fillId="2" borderId="2" xfId="0" applyNumberFormat="1" applyFill="1" applyBorder="1" applyAlignment="1">
      <alignment horizontal="center"/>
    </xf>
    <xf numFmtId="169" fontId="0" fillId="2" borderId="2" xfId="0" applyNumberFormat="1" applyFill="1" applyBorder="1" applyAlignment="1">
      <alignment horizontal="center"/>
    </xf>
    <xf numFmtId="167" fontId="0" fillId="2" borderId="2" xfId="1" quotePrefix="1" applyNumberFormat="1" applyFont="1" applyFill="1" applyBorder="1" applyAlignment="1">
      <alignment horizontal="center"/>
    </xf>
    <xf numFmtId="0" fontId="0" fillId="2" borderId="0" xfId="0" applyFill="1"/>
    <xf numFmtId="0" fontId="4" fillId="2" borderId="0" xfId="0" applyFont="1" applyFill="1"/>
    <xf numFmtId="0" fontId="0" fillId="0" borderId="0" xfId="0" applyAlignment="1">
      <alignment horizontal="left" indent="1"/>
    </xf>
    <xf numFmtId="10" fontId="0" fillId="2" borderId="2" xfId="1" quotePrefix="1" applyNumberFormat="1" applyFont="1" applyFill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164" fontId="6" fillId="2" borderId="2" xfId="0" quotePrefix="1" applyNumberFormat="1" applyFont="1" applyFill="1" applyBorder="1" applyAlignment="1">
      <alignment horizontal="center"/>
    </xf>
    <xf numFmtId="167" fontId="6" fillId="2" borderId="2" xfId="1" quotePrefix="1" applyNumberFormat="1" applyFont="1" applyFill="1" applyBorder="1" applyAlignment="1">
      <alignment horizontal="center"/>
    </xf>
    <xf numFmtId="0" fontId="6" fillId="2" borderId="2" xfId="0" quotePrefix="1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0" fontId="7" fillId="0" borderId="0" xfId="0" applyFont="1"/>
    <xf numFmtId="0" fontId="16" fillId="0" borderId="1" xfId="0" applyFont="1" applyBorder="1"/>
    <xf numFmtId="1" fontId="16" fillId="0" borderId="1" xfId="0" applyNumberFormat="1" applyFont="1" applyBorder="1"/>
    <xf numFmtId="0" fontId="4" fillId="0" borderId="0" xfId="0" applyFont="1" applyAlignment="1">
      <alignment horizontal="left" indent="2"/>
    </xf>
    <xf numFmtId="9" fontId="12" fillId="0" borderId="0" xfId="1" applyFont="1" applyAlignment="1">
      <alignment horizontal="left"/>
    </xf>
    <xf numFmtId="14" fontId="2" fillId="3" borderId="0" xfId="0" applyNumberFormat="1" applyFont="1" applyFill="1"/>
    <xf numFmtId="9" fontId="18" fillId="0" borderId="0" xfId="1" applyFont="1" applyAlignment="1">
      <alignment horizontal="left"/>
    </xf>
    <xf numFmtId="164" fontId="4" fillId="0" borderId="0" xfId="0" applyNumberFormat="1" applyFont="1"/>
    <xf numFmtId="0" fontId="0" fillId="0" borderId="0" xfId="0" applyAlignment="1">
      <alignment horizontal="left" indent="4"/>
    </xf>
    <xf numFmtId="0" fontId="3" fillId="0" borderId="0" xfId="0" applyFont="1" applyAlignment="1">
      <alignment horizontal="left" indent="2"/>
    </xf>
    <xf numFmtId="5" fontId="4" fillId="0" borderId="0" xfId="0" applyNumberFormat="1" applyFont="1"/>
    <xf numFmtId="0" fontId="6" fillId="0" borderId="2" xfId="0" applyFont="1" applyBorder="1"/>
    <xf numFmtId="0" fontId="6" fillId="0" borderId="2" xfId="0" applyFont="1" applyBorder="1" applyAlignment="1">
      <alignment horizontal="center"/>
    </xf>
    <xf numFmtId="0" fontId="3" fillId="2" borderId="2" xfId="0" applyFont="1" applyFill="1" applyBorder="1"/>
    <xf numFmtId="164" fontId="6" fillId="0" borderId="2" xfId="0" applyNumberFormat="1" applyFont="1" applyBorder="1"/>
    <xf numFmtId="9" fontId="6" fillId="0" borderId="2" xfId="0" applyNumberFormat="1" applyFont="1" applyBorder="1"/>
    <xf numFmtId="170" fontId="6" fillId="0" borderId="2" xfId="0" applyNumberFormat="1" applyFont="1" applyBorder="1"/>
    <xf numFmtId="10" fontId="0" fillId="0" borderId="2" xfId="1" applyNumberFormat="1" applyFont="1" applyBorder="1"/>
    <xf numFmtId="10" fontId="6" fillId="0" borderId="2" xfId="0" applyNumberFormat="1" applyFont="1" applyBorder="1"/>
    <xf numFmtId="0" fontId="2" fillId="3" borderId="4" xfId="0" applyFont="1" applyFill="1" applyBorder="1" applyAlignment="1">
      <alignment horizontal="center" wrapText="1"/>
    </xf>
    <xf numFmtId="3" fontId="6" fillId="0" borderId="2" xfId="0" applyNumberFormat="1" applyFont="1" applyBorder="1"/>
    <xf numFmtId="167" fontId="6" fillId="0" borderId="2" xfId="0" applyNumberFormat="1" applyFont="1" applyBorder="1"/>
    <xf numFmtId="167" fontId="0" fillId="0" borderId="2" xfId="0" applyNumberFormat="1" applyBorder="1"/>
    <xf numFmtId="9" fontId="0" fillId="0" borderId="2" xfId="1" applyFont="1" applyBorder="1"/>
    <xf numFmtId="0" fontId="2" fillId="3" borderId="4" xfId="0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9" fontId="6" fillId="2" borderId="0" xfId="0" applyNumberFormat="1" applyFont="1" applyFill="1" applyAlignment="1">
      <alignment horizontal="center"/>
    </xf>
    <xf numFmtId="9" fontId="19" fillId="2" borderId="0" xfId="0" applyNumberFormat="1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Continuous"/>
    </xf>
    <xf numFmtId="0" fontId="8" fillId="3" borderId="0" xfId="0" applyFont="1" applyFill="1"/>
    <xf numFmtId="0" fontId="2" fillId="3" borderId="0" xfId="0" applyFont="1" applyFill="1" applyAlignment="1">
      <alignment horizontal="centerContinuous"/>
    </xf>
    <xf numFmtId="0" fontId="2" fillId="3" borderId="2" xfId="0" applyFont="1" applyFill="1" applyBorder="1" applyAlignment="1">
      <alignment horizontal="center"/>
    </xf>
    <xf numFmtId="171" fontId="0" fillId="2" borderId="2" xfId="0" applyNumberFormat="1" applyFill="1" applyBorder="1"/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6" fillId="0" borderId="6" xfId="0" applyFont="1" applyBorder="1"/>
    <xf numFmtId="0" fontId="6" fillId="0" borderId="7" xfId="0" applyFont="1" applyBorder="1"/>
    <xf numFmtId="0" fontId="6" fillId="0" borderId="5" xfId="0" applyFont="1" applyBorder="1"/>
    <xf numFmtId="0" fontId="2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0" fontId="2" fillId="3" borderId="6" xfId="0" applyFont="1" applyFill="1" applyBorder="1" applyAlignment="1">
      <alignment horizontal="center" wrapText="1"/>
    </xf>
    <xf numFmtId="10" fontId="6" fillId="0" borderId="6" xfId="0" applyNumberFormat="1" applyFont="1" applyBorder="1"/>
    <xf numFmtId="0" fontId="2" fillId="3" borderId="7" xfId="0" applyFont="1" applyFill="1" applyBorder="1" applyAlignment="1">
      <alignment horizontal="center" wrapText="1"/>
    </xf>
    <xf numFmtId="1" fontId="0" fillId="0" borderId="7" xfId="0" applyNumberFormat="1" applyBorder="1"/>
    <xf numFmtId="0" fontId="2" fillId="3" borderId="8" xfId="0" applyFont="1" applyFill="1" applyBorder="1" applyAlignment="1">
      <alignment horizontal="center" wrapText="1"/>
    </xf>
    <xf numFmtId="10" fontId="0" fillId="0" borderId="9" xfId="0" applyNumberFormat="1" applyBorder="1"/>
    <xf numFmtId="10" fontId="0" fillId="0" borderId="10" xfId="0" applyNumberFormat="1" applyBorder="1"/>
    <xf numFmtId="0" fontId="4" fillId="0" borderId="0" xfId="0" quotePrefix="1" applyFont="1"/>
    <xf numFmtId="0" fontId="0" fillId="0" borderId="6" xfId="0" applyBorder="1"/>
    <xf numFmtId="0" fontId="0" fillId="0" borderId="7" xfId="0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7" xfId="0" applyBorder="1" applyAlignment="1">
      <alignment horizontal="left" indent="1"/>
    </xf>
    <xf numFmtId="169" fontId="0" fillId="2" borderId="2" xfId="0" applyNumberFormat="1" applyFill="1" applyBorder="1"/>
    <xf numFmtId="10" fontId="0" fillId="2" borderId="2" xfId="0" applyNumberFormat="1" applyFill="1" applyBorder="1"/>
    <xf numFmtId="0" fontId="13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0" fontId="6" fillId="4" borderId="6" xfId="0" applyNumberFormat="1" applyFont="1" applyFill="1" applyBorder="1"/>
    <xf numFmtId="167" fontId="0" fillId="0" borderId="0" xfId="1" applyNumberFormat="1" applyFont="1" applyAlignment="1">
      <alignment horizontal="center" vertical="center"/>
    </xf>
    <xf numFmtId="5" fontId="0" fillId="0" borderId="2" xfId="0" applyNumberFormat="1" applyBorder="1"/>
    <xf numFmtId="37" fontId="0" fillId="0" borderId="2" xfId="0" applyNumberFormat="1" applyBorder="1"/>
    <xf numFmtId="165" fontId="16" fillId="0" borderId="0" xfId="1" applyNumberFormat="1" applyFont="1" applyFill="1" applyBorder="1" applyAlignment="1">
      <alignment horizontal="left"/>
    </xf>
    <xf numFmtId="0" fontId="7" fillId="2" borderId="6" xfId="0" applyFont="1" applyFill="1" applyBorder="1"/>
    <xf numFmtId="0" fontId="7" fillId="2" borderId="7" xfId="0" applyFont="1" applyFill="1" applyBorder="1"/>
    <xf numFmtId="9" fontId="7" fillId="2" borderId="2" xfId="0" applyNumberFormat="1" applyFont="1" applyFill="1" applyBorder="1"/>
    <xf numFmtId="5" fontId="7" fillId="2" borderId="2" xfId="0" applyNumberFormat="1" applyFont="1" applyFill="1" applyBorder="1"/>
    <xf numFmtId="37" fontId="7" fillId="2" borderId="2" xfId="0" applyNumberFormat="1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2" xfId="0" applyFont="1" applyFill="1" applyBorder="1"/>
    <xf numFmtId="9" fontId="4" fillId="2" borderId="2" xfId="1" applyFont="1" applyFill="1" applyBorder="1"/>
    <xf numFmtId="0" fontId="13" fillId="0" borderId="3" xfId="0" applyFont="1" applyBorder="1"/>
    <xf numFmtId="0" fontId="23" fillId="0" borderId="3" xfId="0" applyFont="1" applyBorder="1"/>
    <xf numFmtId="0" fontId="0" fillId="0" borderId="3" xfId="0" applyBorder="1"/>
    <xf numFmtId="0" fontId="24" fillId="0" borderId="0" xfId="0" applyFont="1"/>
    <xf numFmtId="0" fontId="2" fillId="3" borderId="0" xfId="0" applyFont="1" applyFill="1" applyAlignment="1">
      <alignment horizontal="right" vertical="center" textRotation="90" wrapText="1"/>
    </xf>
  </cellXfs>
  <cellStyles count="3">
    <cellStyle name="Comma" xfId="2" builtinId="3"/>
    <cellStyle name="Normal" xfId="0" builtinId="0"/>
    <cellStyle name="Percent" xfId="1" builtinId="5"/>
  </cellStyles>
  <dxfs count="1">
    <dxf>
      <font>
        <color rgb="FFFC7B17"/>
      </font>
    </dxf>
  </dxfs>
  <tableStyles count="0" defaultTableStyle="TableStyleMedium2" defaultPivotStyle="PivotStyleLight16"/>
  <colors>
    <mruColors>
      <color rgb="FF3B5998"/>
      <color rgb="FF54BFEC"/>
      <color rgb="FFA9D430"/>
      <color rgb="FFFC7B17"/>
      <color rgb="FF0284BA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20</xdr:row>
      <xdr:rowOff>104775</xdr:rowOff>
    </xdr:from>
    <xdr:to>
      <xdr:col>3</xdr:col>
      <xdr:colOff>550545</xdr:colOff>
      <xdr:row>23</xdr:row>
      <xdr:rowOff>81915</xdr:rowOff>
    </xdr:to>
    <xdr:sp macro="[0]!InterestingFact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04825" y="3676650"/>
          <a:ext cx="1188720" cy="548640"/>
        </a:xfrm>
        <a:prstGeom prst="roundRect">
          <a:avLst/>
        </a:prstGeom>
        <a:solidFill>
          <a:srgbClr val="0284B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Cool</a:t>
          </a:r>
          <a:r>
            <a:rPr lang="en-US" sz="1200" b="1" baseline="0"/>
            <a:t> fact #1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</xdr:row>
      <xdr:rowOff>85725</xdr:rowOff>
    </xdr:from>
    <xdr:to>
      <xdr:col>2</xdr:col>
      <xdr:colOff>1398270</xdr:colOff>
      <xdr:row>34</xdr:row>
      <xdr:rowOff>62865</xdr:rowOff>
    </xdr:to>
    <xdr:sp macro="[0]!InterestingFac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04825" y="5762625"/>
          <a:ext cx="1188720" cy="548640"/>
        </a:xfrm>
        <a:prstGeom prst="roundRect">
          <a:avLst/>
        </a:prstGeom>
        <a:solidFill>
          <a:srgbClr val="0284B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Cool</a:t>
          </a:r>
          <a:r>
            <a:rPr lang="en-US" sz="1200" b="1" baseline="0"/>
            <a:t> fact #2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P96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baseColWidth="10" defaultColWidth="8.83203125" defaultRowHeight="15" x14ac:dyDescent="0.2"/>
  <cols>
    <col min="1" max="1" width="1.6640625" customWidth="1"/>
    <col min="2" max="16" width="12.6640625" customWidth="1"/>
  </cols>
  <sheetData>
    <row r="1" spans="2:16" ht="7" customHeight="1" x14ac:dyDescent="0.2">
      <c r="N1" t="s">
        <v>3</v>
      </c>
    </row>
    <row r="2" spans="2:16" ht="19" x14ac:dyDescent="0.25">
      <c r="B2" s="12" t="s">
        <v>5</v>
      </c>
      <c r="C2" s="39"/>
      <c r="D2" s="39"/>
      <c r="E2" s="39"/>
      <c r="F2" s="39"/>
      <c r="G2" s="39"/>
      <c r="H2" s="39"/>
      <c r="I2" s="40"/>
      <c r="J2" s="39"/>
      <c r="K2" s="39"/>
      <c r="L2" s="39"/>
      <c r="M2" s="39"/>
      <c r="N2" s="39"/>
      <c r="O2" s="39"/>
      <c r="P2" s="40"/>
    </row>
    <row r="3" spans="2:16" ht="16" x14ac:dyDescent="0.2">
      <c r="B3" s="149" t="s">
        <v>915</v>
      </c>
      <c r="C3" s="39"/>
      <c r="D3" s="39"/>
      <c r="E3" s="39"/>
      <c r="F3" s="39"/>
      <c r="G3" s="40"/>
      <c r="H3" s="40"/>
      <c r="I3" s="40"/>
      <c r="J3" s="39"/>
      <c r="K3" s="39"/>
      <c r="L3" s="39"/>
      <c r="M3" s="39"/>
      <c r="N3" s="40"/>
      <c r="O3" s="40"/>
      <c r="P3" s="40"/>
    </row>
    <row r="4" spans="2:16" ht="16" x14ac:dyDescent="0.2">
      <c r="B4" s="15"/>
      <c r="C4" s="47"/>
      <c r="D4" s="41"/>
      <c r="E4" s="42"/>
      <c r="F4" s="43"/>
      <c r="G4" s="44"/>
      <c r="H4" s="45"/>
      <c r="I4" s="46"/>
      <c r="J4" s="47"/>
      <c r="K4" s="41"/>
      <c r="L4" s="42"/>
      <c r="M4" s="43"/>
      <c r="N4" s="44"/>
      <c r="O4" s="45"/>
      <c r="P4" s="46"/>
    </row>
    <row r="5" spans="2:16" ht="32" x14ac:dyDescent="0.2">
      <c r="B5" s="13" t="s">
        <v>6</v>
      </c>
      <c r="C5" s="13" t="s">
        <v>957</v>
      </c>
      <c r="D5" s="13" t="s">
        <v>958</v>
      </c>
      <c r="E5" s="13" t="s">
        <v>959</v>
      </c>
      <c r="F5" s="13" t="s">
        <v>960</v>
      </c>
      <c r="G5" s="13" t="s">
        <v>961</v>
      </c>
      <c r="H5" s="13" t="s">
        <v>962</v>
      </c>
      <c r="I5" s="13" t="s">
        <v>963</v>
      </c>
      <c r="J5" s="13" t="s">
        <v>11</v>
      </c>
      <c r="K5" s="13" t="s">
        <v>7</v>
      </c>
      <c r="L5" s="13" t="s">
        <v>8</v>
      </c>
      <c r="M5" s="13" t="s">
        <v>9</v>
      </c>
      <c r="N5" s="13" t="s">
        <v>18</v>
      </c>
      <c r="O5" s="13" t="s">
        <v>10</v>
      </c>
      <c r="P5" s="13" t="s">
        <v>19</v>
      </c>
    </row>
    <row r="6" spans="2:16" x14ac:dyDescent="0.2">
      <c r="B6" s="7">
        <v>42826</v>
      </c>
      <c r="C6" s="22" t="s">
        <v>12</v>
      </c>
      <c r="D6" s="23">
        <v>4313</v>
      </c>
      <c r="E6" s="6">
        <v>64</v>
      </c>
      <c r="F6" s="24">
        <v>98.56</v>
      </c>
      <c r="G6" s="25">
        <v>1.49E-2</v>
      </c>
      <c r="H6" s="19">
        <v>5</v>
      </c>
      <c r="I6" s="25">
        <v>7.1099999999999997E-2</v>
      </c>
      <c r="J6" s="22" t="s">
        <v>15</v>
      </c>
      <c r="K6" s="23">
        <v>1416</v>
      </c>
      <c r="L6" s="6">
        <v>27</v>
      </c>
      <c r="M6" s="24">
        <v>65.070000000000007</v>
      </c>
      <c r="N6" s="25">
        <v>1.9400000000000001E-2</v>
      </c>
      <c r="O6" s="19">
        <v>3</v>
      </c>
      <c r="P6" s="25">
        <v>0.1038</v>
      </c>
    </row>
    <row r="7" spans="2:16" x14ac:dyDescent="0.2">
      <c r="B7" s="7">
        <v>42827</v>
      </c>
      <c r="C7" s="22" t="s">
        <v>12</v>
      </c>
      <c r="D7" s="23">
        <v>6668</v>
      </c>
      <c r="E7" s="6">
        <v>83</v>
      </c>
      <c r="F7" s="24">
        <v>134.46</v>
      </c>
      <c r="G7" s="25">
        <v>1.2500000000000001E-2</v>
      </c>
      <c r="H7" s="19">
        <v>6</v>
      </c>
      <c r="I7" s="25">
        <v>6.7000000000000004E-2</v>
      </c>
      <c r="J7" s="22" t="s">
        <v>15</v>
      </c>
      <c r="K7" s="23">
        <v>2747</v>
      </c>
      <c r="L7" s="6">
        <v>37</v>
      </c>
      <c r="M7" s="24">
        <v>86.210000000000008</v>
      </c>
      <c r="N7" s="25">
        <v>1.35E-2</v>
      </c>
      <c r="O7" s="19">
        <v>4</v>
      </c>
      <c r="P7" s="25">
        <v>0.1082</v>
      </c>
    </row>
    <row r="8" spans="2:16" x14ac:dyDescent="0.2">
      <c r="B8" s="7">
        <v>42828</v>
      </c>
      <c r="C8" s="22" t="s">
        <v>12</v>
      </c>
      <c r="D8" s="23">
        <v>4878</v>
      </c>
      <c r="E8" s="6">
        <v>49</v>
      </c>
      <c r="F8" s="24">
        <v>80.849999999999994</v>
      </c>
      <c r="G8" s="25">
        <v>1.01E-2</v>
      </c>
      <c r="H8" s="19">
        <v>3</v>
      </c>
      <c r="I8" s="25">
        <v>6.6600000000000006E-2</v>
      </c>
      <c r="J8" s="22" t="s">
        <v>15</v>
      </c>
      <c r="K8" s="23">
        <v>2343</v>
      </c>
      <c r="L8" s="6">
        <v>37</v>
      </c>
      <c r="M8" s="24">
        <v>68.45</v>
      </c>
      <c r="N8" s="25">
        <v>1.5699999999999999E-2</v>
      </c>
      <c r="O8" s="19">
        <v>4</v>
      </c>
      <c r="P8" s="25">
        <v>0.1038</v>
      </c>
    </row>
    <row r="9" spans="2:16" x14ac:dyDescent="0.2">
      <c r="B9" s="7">
        <v>42829</v>
      </c>
      <c r="C9" s="22" t="s">
        <v>12</v>
      </c>
      <c r="D9" s="23">
        <v>5291</v>
      </c>
      <c r="E9" s="6">
        <v>57</v>
      </c>
      <c r="F9" s="24">
        <v>99.75</v>
      </c>
      <c r="G9" s="25">
        <v>1.0699999999999999E-2</v>
      </c>
      <c r="H9" s="19">
        <v>4</v>
      </c>
      <c r="I9" s="25">
        <v>6.54E-2</v>
      </c>
      <c r="J9" s="22" t="s">
        <v>15</v>
      </c>
      <c r="K9" s="23">
        <v>1169</v>
      </c>
      <c r="L9" s="6">
        <v>17</v>
      </c>
      <c r="M9" s="24">
        <v>40.799999999999997</v>
      </c>
      <c r="N9" s="25">
        <v>1.44E-2</v>
      </c>
      <c r="O9" s="19">
        <v>2</v>
      </c>
      <c r="P9" s="25">
        <v>0.10970000000000001</v>
      </c>
    </row>
    <row r="10" spans="2:16" x14ac:dyDescent="0.2">
      <c r="B10" s="7">
        <v>42830</v>
      </c>
      <c r="C10" s="22" t="s">
        <v>12</v>
      </c>
      <c r="D10" s="23">
        <v>5708</v>
      </c>
      <c r="E10" s="6">
        <v>75</v>
      </c>
      <c r="F10" s="24">
        <v>143.25</v>
      </c>
      <c r="G10" s="25">
        <v>1.3100000000000001E-2</v>
      </c>
      <c r="H10" s="19">
        <v>5</v>
      </c>
      <c r="I10" s="25">
        <v>6.4500000000000002E-2</v>
      </c>
      <c r="J10" s="22" t="s">
        <v>15</v>
      </c>
      <c r="K10" s="23">
        <v>2169</v>
      </c>
      <c r="L10" s="6">
        <v>32</v>
      </c>
      <c r="M10" s="24">
        <v>66.88</v>
      </c>
      <c r="N10" s="25">
        <v>1.47E-2</v>
      </c>
      <c r="O10" s="19">
        <v>4</v>
      </c>
      <c r="P10" s="25">
        <v>0.1186</v>
      </c>
    </row>
    <row r="11" spans="2:16" x14ac:dyDescent="0.2">
      <c r="B11" s="7">
        <v>42831</v>
      </c>
      <c r="C11" s="22" t="s">
        <v>12</v>
      </c>
      <c r="D11" s="23">
        <v>6601</v>
      </c>
      <c r="E11" s="6">
        <v>97</v>
      </c>
      <c r="F11" s="24">
        <v>128.04</v>
      </c>
      <c r="G11" s="25">
        <v>1.47E-2</v>
      </c>
      <c r="H11" s="19">
        <v>7</v>
      </c>
      <c r="I11" s="25">
        <v>6.7100000000000007E-2</v>
      </c>
      <c r="J11" s="22" t="s">
        <v>15</v>
      </c>
      <c r="K11" s="23">
        <v>1501</v>
      </c>
      <c r="L11" s="6">
        <v>20</v>
      </c>
      <c r="M11" s="24">
        <v>47</v>
      </c>
      <c r="N11" s="25">
        <v>1.2999999999999999E-2</v>
      </c>
      <c r="O11" s="19">
        <v>2</v>
      </c>
      <c r="P11" s="25">
        <v>9.4E-2</v>
      </c>
    </row>
    <row r="12" spans="2:16" x14ac:dyDescent="0.2">
      <c r="B12" s="7">
        <v>42832</v>
      </c>
      <c r="C12" s="22" t="s">
        <v>12</v>
      </c>
      <c r="D12" s="23">
        <v>5385</v>
      </c>
      <c r="E12" s="6">
        <v>47</v>
      </c>
      <c r="F12" s="24">
        <v>89.3</v>
      </c>
      <c r="G12" s="25">
        <v>8.8000000000000005E-3</v>
      </c>
      <c r="H12" s="19">
        <v>3</v>
      </c>
      <c r="I12" s="25">
        <v>6.6100000000000006E-2</v>
      </c>
      <c r="J12" s="22" t="s">
        <v>15</v>
      </c>
      <c r="K12" s="23">
        <v>2036</v>
      </c>
      <c r="L12" s="6">
        <v>33</v>
      </c>
      <c r="M12" s="24">
        <v>75.570000000000007</v>
      </c>
      <c r="N12" s="25">
        <v>1.6E-2</v>
      </c>
      <c r="O12" s="19">
        <v>3</v>
      </c>
      <c r="P12" s="25">
        <v>9.1700000000000004E-2</v>
      </c>
    </row>
    <row r="13" spans="2:16" x14ac:dyDescent="0.2">
      <c r="B13" s="7">
        <v>42833</v>
      </c>
      <c r="C13" s="22" t="s">
        <v>12</v>
      </c>
      <c r="D13" s="23">
        <v>4407</v>
      </c>
      <c r="E13" s="6">
        <v>65</v>
      </c>
      <c r="F13" s="24">
        <v>71.5</v>
      </c>
      <c r="G13" s="25">
        <v>1.4800000000000001E-2</v>
      </c>
      <c r="H13" s="19">
        <v>4</v>
      </c>
      <c r="I13" s="25">
        <v>6.6199999999999995E-2</v>
      </c>
      <c r="J13" s="22" t="s">
        <v>15</v>
      </c>
      <c r="K13" s="23">
        <v>2631</v>
      </c>
      <c r="L13" s="6">
        <v>56</v>
      </c>
      <c r="M13" s="24">
        <v>136.63999999999999</v>
      </c>
      <c r="N13" s="25">
        <v>2.12E-2</v>
      </c>
      <c r="O13" s="19">
        <v>6</v>
      </c>
      <c r="P13" s="25">
        <v>0.1051</v>
      </c>
    </row>
    <row r="14" spans="2:16" x14ac:dyDescent="0.2">
      <c r="B14" s="7">
        <v>42834</v>
      </c>
      <c r="C14" s="22" t="s">
        <v>12</v>
      </c>
      <c r="D14" s="23">
        <v>5356</v>
      </c>
      <c r="E14" s="6">
        <v>58</v>
      </c>
      <c r="F14" s="24">
        <v>124.69999999999999</v>
      </c>
      <c r="G14" s="25">
        <v>1.0800000000000001E-2</v>
      </c>
      <c r="H14" s="19">
        <v>4</v>
      </c>
      <c r="I14" s="25">
        <v>7.4399999999999994E-2</v>
      </c>
      <c r="J14" s="22" t="s">
        <v>15</v>
      </c>
      <c r="K14" s="23">
        <v>2559</v>
      </c>
      <c r="L14" s="6">
        <v>51</v>
      </c>
      <c r="M14" s="24">
        <v>104.55</v>
      </c>
      <c r="N14" s="25">
        <v>2.01E-2</v>
      </c>
      <c r="O14" s="19">
        <v>5</v>
      </c>
      <c r="P14" s="25">
        <v>0.1013</v>
      </c>
    </row>
    <row r="15" spans="2:16" x14ac:dyDescent="0.2">
      <c r="B15" s="7">
        <v>42835</v>
      </c>
      <c r="C15" s="22" t="s">
        <v>12</v>
      </c>
      <c r="D15" s="23">
        <v>5747</v>
      </c>
      <c r="E15" s="6">
        <v>64</v>
      </c>
      <c r="F15" s="24">
        <v>122.24</v>
      </c>
      <c r="G15" s="25">
        <v>1.12E-2</v>
      </c>
      <c r="H15" s="19">
        <v>4</v>
      </c>
      <c r="I15" s="25">
        <v>6.83E-2</v>
      </c>
      <c r="J15" s="22" t="s">
        <v>15</v>
      </c>
      <c r="K15" s="23">
        <v>2866</v>
      </c>
      <c r="L15" s="6">
        <v>63</v>
      </c>
      <c r="M15" s="24">
        <v>115.92</v>
      </c>
      <c r="N15" s="25">
        <v>2.1899999999999999E-2</v>
      </c>
      <c r="O15" s="19">
        <v>7</v>
      </c>
      <c r="P15" s="25">
        <v>0.1148</v>
      </c>
    </row>
    <row r="16" spans="2:16" x14ac:dyDescent="0.2">
      <c r="B16" s="7">
        <v>42836</v>
      </c>
      <c r="C16" s="22" t="s">
        <v>12</v>
      </c>
      <c r="D16" s="23">
        <v>6970</v>
      </c>
      <c r="E16" s="6">
        <v>82</v>
      </c>
      <c r="F16" s="24">
        <v>153.34</v>
      </c>
      <c r="G16" s="25">
        <v>1.17E-2</v>
      </c>
      <c r="H16" s="19">
        <v>5</v>
      </c>
      <c r="I16" s="25">
        <v>6.3600000000000004E-2</v>
      </c>
      <c r="J16" s="22" t="s">
        <v>15</v>
      </c>
      <c r="K16" s="23">
        <v>2301</v>
      </c>
      <c r="L16" s="6">
        <v>52</v>
      </c>
      <c r="M16" s="24">
        <v>81.12</v>
      </c>
      <c r="N16" s="25">
        <v>2.2700000000000001E-2</v>
      </c>
      <c r="O16" s="19">
        <v>6</v>
      </c>
      <c r="P16" s="25">
        <v>0.1149</v>
      </c>
    </row>
    <row r="17" spans="2:16" x14ac:dyDescent="0.2">
      <c r="B17" s="7">
        <v>42837</v>
      </c>
      <c r="C17" s="22" t="s">
        <v>12</v>
      </c>
      <c r="D17" s="23">
        <v>6320</v>
      </c>
      <c r="E17" s="6">
        <v>92</v>
      </c>
      <c r="F17" s="24">
        <v>98.440000000000012</v>
      </c>
      <c r="G17" s="25">
        <v>1.4500000000000001E-2</v>
      </c>
      <c r="H17" s="19">
        <v>7</v>
      </c>
      <c r="I17" s="25">
        <v>7.1400000000000005E-2</v>
      </c>
      <c r="J17" s="22" t="s">
        <v>15</v>
      </c>
      <c r="K17" s="23">
        <v>2085</v>
      </c>
      <c r="L17" s="6">
        <v>46</v>
      </c>
      <c r="M17" s="24">
        <v>76.819999999999993</v>
      </c>
      <c r="N17" s="25">
        <v>2.1899999999999999E-2</v>
      </c>
      <c r="O17" s="19">
        <v>4</v>
      </c>
      <c r="P17" s="25">
        <v>9.5299999999999996E-2</v>
      </c>
    </row>
    <row r="18" spans="2:16" x14ac:dyDescent="0.2">
      <c r="B18" s="7">
        <v>42838</v>
      </c>
      <c r="C18" s="22" t="s">
        <v>12</v>
      </c>
      <c r="D18" s="23">
        <v>6858</v>
      </c>
      <c r="E18" s="6">
        <v>90</v>
      </c>
      <c r="F18" s="24">
        <v>185.4</v>
      </c>
      <c r="G18" s="25">
        <v>1.3100000000000001E-2</v>
      </c>
      <c r="H18" s="19">
        <v>7</v>
      </c>
      <c r="I18" s="25">
        <v>7.3700000000000002E-2</v>
      </c>
      <c r="J18" s="22" t="s">
        <v>15</v>
      </c>
      <c r="K18" s="23">
        <v>2291</v>
      </c>
      <c r="L18" s="6">
        <v>39</v>
      </c>
      <c r="M18" s="24">
        <v>67.86</v>
      </c>
      <c r="N18" s="25">
        <v>1.7100000000000001E-2</v>
      </c>
      <c r="O18" s="19">
        <v>4</v>
      </c>
      <c r="P18" s="25">
        <v>0.1099</v>
      </c>
    </row>
    <row r="19" spans="2:16" x14ac:dyDescent="0.2">
      <c r="B19" s="7">
        <v>42839</v>
      </c>
      <c r="C19" s="22" t="s">
        <v>12</v>
      </c>
      <c r="D19" s="23">
        <v>5874</v>
      </c>
      <c r="E19" s="6">
        <v>75</v>
      </c>
      <c r="F19" s="24">
        <v>97.5</v>
      </c>
      <c r="G19" s="25">
        <v>1.2800000000000001E-2</v>
      </c>
      <c r="H19" s="19">
        <v>5</v>
      </c>
      <c r="I19" s="25">
        <v>6.0600000000000001E-2</v>
      </c>
      <c r="J19" s="22" t="s">
        <v>15</v>
      </c>
      <c r="K19" s="23">
        <v>2682</v>
      </c>
      <c r="L19" s="6">
        <v>45</v>
      </c>
      <c r="M19" s="24">
        <v>103.49999999999999</v>
      </c>
      <c r="N19" s="25">
        <v>1.6899999999999998E-2</v>
      </c>
      <c r="O19" s="19">
        <v>5</v>
      </c>
      <c r="P19" s="25">
        <v>0.1167</v>
      </c>
    </row>
    <row r="20" spans="2:16" x14ac:dyDescent="0.2">
      <c r="B20" s="7">
        <v>42840</v>
      </c>
      <c r="C20" s="22" t="s">
        <v>12</v>
      </c>
      <c r="D20" s="23">
        <v>4050</v>
      </c>
      <c r="E20" s="6">
        <v>49</v>
      </c>
      <c r="F20" s="24">
        <v>92.61</v>
      </c>
      <c r="G20" s="25">
        <v>1.21E-2</v>
      </c>
      <c r="H20" s="19">
        <v>3</v>
      </c>
      <c r="I20" s="25">
        <v>6.3500000000000001E-2</v>
      </c>
      <c r="J20" s="22" t="s">
        <v>15</v>
      </c>
      <c r="K20" s="23">
        <v>2495</v>
      </c>
      <c r="L20" s="6">
        <v>60</v>
      </c>
      <c r="M20" s="24">
        <v>149.4</v>
      </c>
      <c r="N20" s="25">
        <v>2.4E-2</v>
      </c>
      <c r="O20" s="19">
        <v>6</v>
      </c>
      <c r="P20" s="25">
        <v>9.4200000000000006E-2</v>
      </c>
    </row>
    <row r="21" spans="2:16" x14ac:dyDescent="0.2">
      <c r="B21" s="7">
        <v>42841</v>
      </c>
      <c r="C21" s="22" t="s">
        <v>12</v>
      </c>
      <c r="D21" s="23">
        <v>6773</v>
      </c>
      <c r="E21" s="6">
        <v>95</v>
      </c>
      <c r="F21" s="24">
        <v>143.44999999999999</v>
      </c>
      <c r="G21" s="25">
        <v>1.41E-2</v>
      </c>
      <c r="H21" s="19">
        <v>6</v>
      </c>
      <c r="I21" s="25">
        <v>6.54E-2</v>
      </c>
      <c r="J21" s="22" t="s">
        <v>15</v>
      </c>
      <c r="K21" s="23">
        <v>2087</v>
      </c>
      <c r="L21" s="6">
        <v>40</v>
      </c>
      <c r="M21" s="24">
        <v>79.599999999999994</v>
      </c>
      <c r="N21" s="25">
        <v>1.9099999999999999E-2</v>
      </c>
      <c r="O21" s="19">
        <v>4</v>
      </c>
      <c r="P21" s="25">
        <v>0.1013</v>
      </c>
    </row>
    <row r="22" spans="2:16" x14ac:dyDescent="0.2">
      <c r="B22" s="7">
        <v>42842</v>
      </c>
      <c r="C22" s="22" t="s">
        <v>12</v>
      </c>
      <c r="D22" s="23">
        <v>5289</v>
      </c>
      <c r="E22" s="6">
        <v>60</v>
      </c>
      <c r="F22" s="24">
        <v>63.6</v>
      </c>
      <c r="G22" s="25">
        <v>1.14E-2</v>
      </c>
      <c r="H22" s="19">
        <v>4</v>
      </c>
      <c r="I22" s="25">
        <v>7.0599999999999996E-2</v>
      </c>
      <c r="J22" s="22" t="s">
        <v>15</v>
      </c>
      <c r="K22" s="23">
        <v>1348</v>
      </c>
      <c r="L22" s="6">
        <v>20</v>
      </c>
      <c r="M22" s="24">
        <v>36</v>
      </c>
      <c r="N22" s="25">
        <v>1.5100000000000001E-2</v>
      </c>
      <c r="O22" s="19">
        <v>2</v>
      </c>
      <c r="P22" s="25">
        <v>9.1499999999999998E-2</v>
      </c>
    </row>
    <row r="23" spans="2:16" x14ac:dyDescent="0.2">
      <c r="B23" s="7">
        <v>42843</v>
      </c>
      <c r="C23" s="22" t="s">
        <v>12</v>
      </c>
      <c r="D23" s="23">
        <v>5291</v>
      </c>
      <c r="E23" s="6">
        <v>59</v>
      </c>
      <c r="F23" s="24">
        <v>116.23</v>
      </c>
      <c r="G23" s="25">
        <v>1.11E-2</v>
      </c>
      <c r="H23" s="19">
        <v>4</v>
      </c>
      <c r="I23" s="25">
        <v>7.17E-2</v>
      </c>
      <c r="J23" s="22" t="s">
        <v>15</v>
      </c>
      <c r="K23" s="23">
        <v>2506</v>
      </c>
      <c r="L23" s="6">
        <v>59</v>
      </c>
      <c r="M23" s="24">
        <v>134.51999999999998</v>
      </c>
      <c r="N23" s="25">
        <v>2.3400000000000001E-2</v>
      </c>
      <c r="O23" s="19">
        <v>7</v>
      </c>
      <c r="P23" s="25">
        <v>0.1237</v>
      </c>
    </row>
    <row r="24" spans="2:16" x14ac:dyDescent="0.2">
      <c r="B24" s="7">
        <v>42844</v>
      </c>
      <c r="C24" s="22" t="s">
        <v>12</v>
      </c>
      <c r="D24" s="23">
        <v>6598</v>
      </c>
      <c r="E24" s="6">
        <v>74</v>
      </c>
      <c r="F24" s="24">
        <v>93.24</v>
      </c>
      <c r="G24" s="25">
        <v>1.12E-2</v>
      </c>
      <c r="H24" s="19">
        <v>5</v>
      </c>
      <c r="I24" s="25">
        <v>6.88E-2</v>
      </c>
      <c r="J24" s="22" t="s">
        <v>15</v>
      </c>
      <c r="K24" s="23">
        <v>2331</v>
      </c>
      <c r="L24" s="6">
        <v>54</v>
      </c>
      <c r="M24" s="24">
        <v>108</v>
      </c>
      <c r="N24" s="25">
        <v>2.3099999999999999E-2</v>
      </c>
      <c r="O24" s="19">
        <v>7</v>
      </c>
      <c r="P24" s="25">
        <v>0.1227</v>
      </c>
    </row>
    <row r="25" spans="2:16" x14ac:dyDescent="0.2">
      <c r="B25" s="7">
        <v>42845</v>
      </c>
      <c r="C25" s="22" t="s">
        <v>12</v>
      </c>
      <c r="D25" s="23">
        <v>4705</v>
      </c>
      <c r="E25" s="6">
        <v>47</v>
      </c>
      <c r="F25" s="24">
        <v>63.92</v>
      </c>
      <c r="G25" s="25">
        <v>0.01</v>
      </c>
      <c r="H25" s="19">
        <v>3</v>
      </c>
      <c r="I25" s="25">
        <v>6.6799999999999998E-2</v>
      </c>
      <c r="J25" s="22" t="s">
        <v>15</v>
      </c>
      <c r="K25" s="23">
        <v>2714</v>
      </c>
      <c r="L25" s="6">
        <v>58</v>
      </c>
      <c r="M25" s="24">
        <v>104.4</v>
      </c>
      <c r="N25" s="25">
        <v>2.12E-2</v>
      </c>
      <c r="O25" s="19">
        <v>7</v>
      </c>
      <c r="P25" s="25">
        <v>0.1162</v>
      </c>
    </row>
    <row r="26" spans="2:16" x14ac:dyDescent="0.2">
      <c r="B26" s="7">
        <v>42846</v>
      </c>
      <c r="C26" s="22" t="s">
        <v>12</v>
      </c>
      <c r="D26" s="23">
        <v>5931</v>
      </c>
      <c r="E26" s="6">
        <v>88</v>
      </c>
      <c r="F26" s="24">
        <v>135.52000000000001</v>
      </c>
      <c r="G26" s="25">
        <v>1.4800000000000001E-2</v>
      </c>
      <c r="H26" s="19">
        <v>5</v>
      </c>
      <c r="I26" s="25">
        <v>6.1100000000000002E-2</v>
      </c>
      <c r="J26" s="22" t="s">
        <v>15</v>
      </c>
      <c r="K26" s="23">
        <v>2290</v>
      </c>
      <c r="L26" s="6">
        <v>34</v>
      </c>
      <c r="M26" s="24">
        <v>77.86</v>
      </c>
      <c r="N26" s="25">
        <v>1.4800000000000001E-2</v>
      </c>
      <c r="O26" s="19">
        <v>4</v>
      </c>
      <c r="P26" s="25">
        <v>0.114</v>
      </c>
    </row>
    <row r="27" spans="2:16" x14ac:dyDescent="0.2">
      <c r="B27" s="7">
        <v>42847</v>
      </c>
      <c r="C27" s="22" t="s">
        <v>12</v>
      </c>
      <c r="D27" s="23">
        <v>4895</v>
      </c>
      <c r="E27" s="6">
        <v>51</v>
      </c>
      <c r="F27" s="24">
        <v>70.89</v>
      </c>
      <c r="G27" s="25">
        <v>1.0500000000000001E-2</v>
      </c>
      <c r="H27" s="19">
        <v>4</v>
      </c>
      <c r="I27" s="25">
        <v>6.9599999999999995E-2</v>
      </c>
      <c r="J27" s="22" t="s">
        <v>15</v>
      </c>
      <c r="K27" s="23">
        <v>2530</v>
      </c>
      <c r="L27" s="6">
        <v>36</v>
      </c>
      <c r="M27" s="24">
        <v>68.399999999999991</v>
      </c>
      <c r="N27" s="25">
        <v>1.4200000000000001E-2</v>
      </c>
      <c r="O27" s="19">
        <v>4</v>
      </c>
      <c r="P27" s="25">
        <v>0.11990000000000001</v>
      </c>
    </row>
    <row r="28" spans="2:16" x14ac:dyDescent="0.2">
      <c r="B28" s="7">
        <v>42848</v>
      </c>
      <c r="C28" s="22" t="s">
        <v>12</v>
      </c>
      <c r="D28" s="23">
        <v>4877</v>
      </c>
      <c r="E28" s="6">
        <v>57</v>
      </c>
      <c r="F28" s="24">
        <v>72.39</v>
      </c>
      <c r="G28" s="25">
        <v>1.1599999999999999E-2</v>
      </c>
      <c r="H28" s="19">
        <v>4</v>
      </c>
      <c r="I28" s="25">
        <v>7.4200000000000002E-2</v>
      </c>
      <c r="J28" s="22" t="s">
        <v>15</v>
      </c>
      <c r="K28" s="23">
        <v>1222</v>
      </c>
      <c r="L28" s="6">
        <v>20</v>
      </c>
      <c r="M28" s="24">
        <v>37.599999999999994</v>
      </c>
      <c r="N28" s="25">
        <v>1.66E-2</v>
      </c>
      <c r="O28" s="19">
        <v>2</v>
      </c>
      <c r="P28" s="25">
        <v>9.5100000000000004E-2</v>
      </c>
    </row>
    <row r="29" spans="2:16" x14ac:dyDescent="0.2">
      <c r="B29" s="7">
        <v>42849</v>
      </c>
      <c r="C29" s="22" t="s">
        <v>12</v>
      </c>
      <c r="D29" s="23">
        <v>4593</v>
      </c>
      <c r="E29" s="6">
        <v>62</v>
      </c>
      <c r="F29" s="24">
        <v>127.1</v>
      </c>
      <c r="G29" s="25">
        <v>1.3599999999999999E-2</v>
      </c>
      <c r="H29" s="19">
        <v>4</v>
      </c>
      <c r="I29" s="25">
        <v>6.8400000000000002E-2</v>
      </c>
      <c r="J29" s="22" t="s">
        <v>15</v>
      </c>
      <c r="K29" s="23">
        <v>2147</v>
      </c>
      <c r="L29" s="6">
        <v>51</v>
      </c>
      <c r="M29" s="24">
        <v>118.32</v>
      </c>
      <c r="N29" s="25">
        <v>2.3900000000000001E-2</v>
      </c>
      <c r="O29" s="19">
        <v>6</v>
      </c>
      <c r="P29" s="25">
        <v>0.11509999999999999</v>
      </c>
    </row>
    <row r="30" spans="2:16" x14ac:dyDescent="0.2">
      <c r="B30" s="7">
        <v>42850</v>
      </c>
      <c r="C30" s="22" t="s">
        <v>12</v>
      </c>
      <c r="D30" s="23">
        <v>6834</v>
      </c>
      <c r="E30" s="6">
        <v>101</v>
      </c>
      <c r="F30" s="24">
        <v>217.14999999999998</v>
      </c>
      <c r="G30" s="25">
        <v>1.4800000000000001E-2</v>
      </c>
      <c r="H30" s="19">
        <v>7</v>
      </c>
      <c r="I30" s="25">
        <v>7.2599999999999998E-2</v>
      </c>
      <c r="J30" s="22" t="s">
        <v>15</v>
      </c>
      <c r="K30" s="23">
        <v>2566</v>
      </c>
      <c r="L30" s="6">
        <v>52</v>
      </c>
      <c r="M30" s="24">
        <v>113.88</v>
      </c>
      <c r="N30" s="25">
        <v>2.01E-2</v>
      </c>
      <c r="O30" s="19">
        <v>6</v>
      </c>
      <c r="P30" s="25">
        <v>0.12379999999999999</v>
      </c>
    </row>
    <row r="31" spans="2:16" x14ac:dyDescent="0.2">
      <c r="B31" s="7">
        <v>42851</v>
      </c>
      <c r="C31" s="22" t="s">
        <v>12</v>
      </c>
      <c r="D31" s="23">
        <v>6894</v>
      </c>
      <c r="E31" s="6">
        <v>63</v>
      </c>
      <c r="F31" s="24">
        <v>102.69</v>
      </c>
      <c r="G31" s="25">
        <v>9.1000000000000004E-3</v>
      </c>
      <c r="H31" s="19">
        <v>4</v>
      </c>
      <c r="I31" s="25">
        <v>6.0900000000000003E-2</v>
      </c>
      <c r="J31" s="22" t="s">
        <v>15</v>
      </c>
      <c r="K31" s="23">
        <v>1085</v>
      </c>
      <c r="L31" s="6">
        <v>23</v>
      </c>
      <c r="M31" s="24">
        <v>52.44</v>
      </c>
      <c r="N31" s="25">
        <v>2.0899999999999998E-2</v>
      </c>
      <c r="O31" s="19">
        <v>2</v>
      </c>
      <c r="P31" s="25">
        <v>0.1076</v>
      </c>
    </row>
    <row r="32" spans="2:16" x14ac:dyDescent="0.2">
      <c r="B32" s="7">
        <v>42852</v>
      </c>
      <c r="C32" s="22" t="s">
        <v>12</v>
      </c>
      <c r="D32" s="23">
        <v>6619</v>
      </c>
      <c r="E32" s="6">
        <v>60</v>
      </c>
      <c r="F32" s="24">
        <v>124.80000000000001</v>
      </c>
      <c r="G32" s="25">
        <v>9.1000000000000004E-3</v>
      </c>
      <c r="H32" s="19">
        <v>4</v>
      </c>
      <c r="I32" s="25">
        <v>6.7699999999999996E-2</v>
      </c>
      <c r="J32" s="22" t="s">
        <v>15</v>
      </c>
      <c r="K32" s="23">
        <v>1806</v>
      </c>
      <c r="L32" s="6">
        <v>25</v>
      </c>
      <c r="M32" s="24">
        <v>54.25</v>
      </c>
      <c r="N32" s="25">
        <v>1.4E-2</v>
      </c>
      <c r="O32" s="19">
        <v>3</v>
      </c>
      <c r="P32" s="25">
        <v>0.1045</v>
      </c>
    </row>
    <row r="33" spans="2:16" x14ac:dyDescent="0.2">
      <c r="B33" s="7">
        <v>42853</v>
      </c>
      <c r="C33" s="22" t="s">
        <v>12</v>
      </c>
      <c r="D33" s="23">
        <v>5232</v>
      </c>
      <c r="E33" s="6">
        <v>52</v>
      </c>
      <c r="F33" s="24">
        <v>104</v>
      </c>
      <c r="G33" s="25">
        <v>0.01</v>
      </c>
      <c r="H33" s="19">
        <v>3</v>
      </c>
      <c r="I33" s="25">
        <v>6.0600000000000001E-2</v>
      </c>
      <c r="J33" s="22" t="s">
        <v>15</v>
      </c>
      <c r="K33" s="23">
        <v>1658</v>
      </c>
      <c r="L33" s="6">
        <v>21</v>
      </c>
      <c r="M33" s="24">
        <v>46.83</v>
      </c>
      <c r="N33" s="25">
        <v>1.2500000000000001E-2</v>
      </c>
      <c r="O33" s="19">
        <v>2</v>
      </c>
      <c r="P33" s="25">
        <v>0.1004</v>
      </c>
    </row>
    <row r="34" spans="2:16" x14ac:dyDescent="0.2">
      <c r="B34" s="7">
        <v>42854</v>
      </c>
      <c r="C34" s="22" t="s">
        <v>12</v>
      </c>
      <c r="D34" s="23">
        <v>5047</v>
      </c>
      <c r="E34" s="6">
        <v>69</v>
      </c>
      <c r="F34" s="24">
        <v>114.53999999999999</v>
      </c>
      <c r="G34" s="25">
        <v>1.37E-2</v>
      </c>
      <c r="H34" s="19">
        <v>4</v>
      </c>
      <c r="I34" s="25">
        <v>6.4500000000000002E-2</v>
      </c>
      <c r="J34" s="22" t="s">
        <v>15</v>
      </c>
      <c r="K34" s="23">
        <v>1284</v>
      </c>
      <c r="L34" s="6">
        <v>23</v>
      </c>
      <c r="M34" s="24">
        <v>45.54</v>
      </c>
      <c r="N34" s="25">
        <v>1.8100000000000002E-2</v>
      </c>
      <c r="O34" s="19">
        <v>2</v>
      </c>
      <c r="P34" s="25">
        <v>9.4799999999999995E-2</v>
      </c>
    </row>
    <row r="35" spans="2:16" x14ac:dyDescent="0.2">
      <c r="B35" s="7">
        <v>42855</v>
      </c>
      <c r="C35" s="22" t="s">
        <v>12</v>
      </c>
      <c r="D35" s="23">
        <v>4015</v>
      </c>
      <c r="E35" s="6">
        <v>57</v>
      </c>
      <c r="F35" s="24">
        <v>96.33</v>
      </c>
      <c r="G35" s="25">
        <v>1.4200000000000001E-2</v>
      </c>
      <c r="H35" s="19">
        <v>4</v>
      </c>
      <c r="I35" s="25">
        <v>6.4799999999999996E-2</v>
      </c>
      <c r="J35" s="22" t="s">
        <v>15</v>
      </c>
      <c r="K35" s="23">
        <v>1903</v>
      </c>
      <c r="L35" s="6">
        <v>38</v>
      </c>
      <c r="M35" s="24">
        <v>71.44</v>
      </c>
      <c r="N35" s="25">
        <v>2.0199999999999999E-2</v>
      </c>
      <c r="O35" s="19">
        <v>4</v>
      </c>
      <c r="P35" s="25">
        <v>0.1104</v>
      </c>
    </row>
    <row r="36" spans="2:16" x14ac:dyDescent="0.2">
      <c r="B36" s="7">
        <v>42856</v>
      </c>
      <c r="C36" s="22" t="s">
        <v>13</v>
      </c>
      <c r="D36" s="23">
        <v>5506</v>
      </c>
      <c r="E36" s="6">
        <v>83</v>
      </c>
      <c r="F36" s="24">
        <v>139.44</v>
      </c>
      <c r="G36" s="25">
        <v>1.4999999999999999E-2</v>
      </c>
      <c r="H36" s="19">
        <v>6</v>
      </c>
      <c r="I36" s="25">
        <v>7.4999999999999997E-2</v>
      </c>
      <c r="J36" s="22" t="s">
        <v>16</v>
      </c>
      <c r="K36" s="23">
        <v>2357</v>
      </c>
      <c r="L36" s="6">
        <v>37</v>
      </c>
      <c r="M36" s="24">
        <v>83.61999999999999</v>
      </c>
      <c r="N36" s="25">
        <v>1.5800000000000002E-2</v>
      </c>
      <c r="O36" s="19">
        <v>4</v>
      </c>
      <c r="P36" s="25">
        <v>0.1021</v>
      </c>
    </row>
    <row r="37" spans="2:16" x14ac:dyDescent="0.2">
      <c r="B37" s="7">
        <v>42857</v>
      </c>
      <c r="C37" s="22" t="s">
        <v>13</v>
      </c>
      <c r="D37" s="23">
        <v>6451</v>
      </c>
      <c r="E37" s="6">
        <v>77</v>
      </c>
      <c r="F37" s="24">
        <v>96.25</v>
      </c>
      <c r="G37" s="25">
        <v>1.2E-2</v>
      </c>
      <c r="H37" s="19">
        <v>6</v>
      </c>
      <c r="I37" s="25">
        <v>7.4399999999999994E-2</v>
      </c>
      <c r="J37" s="22" t="s">
        <v>16</v>
      </c>
      <c r="K37" s="23">
        <v>1668</v>
      </c>
      <c r="L37" s="6">
        <v>29</v>
      </c>
      <c r="M37" s="24">
        <v>64.38000000000001</v>
      </c>
      <c r="N37" s="25">
        <v>1.7500000000000002E-2</v>
      </c>
      <c r="O37" s="19">
        <v>3</v>
      </c>
      <c r="P37" s="25">
        <v>0.11169999999999999</v>
      </c>
    </row>
    <row r="38" spans="2:16" x14ac:dyDescent="0.2">
      <c r="B38" s="7">
        <v>42858</v>
      </c>
      <c r="C38" s="22" t="s">
        <v>13</v>
      </c>
      <c r="D38" s="23">
        <v>5347</v>
      </c>
      <c r="E38" s="6">
        <v>65</v>
      </c>
      <c r="F38" s="24">
        <v>132.6</v>
      </c>
      <c r="G38" s="25">
        <v>1.2200000000000001E-2</v>
      </c>
      <c r="H38" s="19">
        <v>4</v>
      </c>
      <c r="I38" s="25">
        <v>6.83E-2</v>
      </c>
      <c r="J38" s="22" t="s">
        <v>16</v>
      </c>
      <c r="K38" s="23">
        <v>2886</v>
      </c>
      <c r="L38" s="6">
        <v>42</v>
      </c>
      <c r="M38" s="24">
        <v>76.02</v>
      </c>
      <c r="N38" s="25">
        <v>1.46E-2</v>
      </c>
      <c r="O38" s="19">
        <v>4</v>
      </c>
      <c r="P38" s="25">
        <v>9.4600000000000004E-2</v>
      </c>
    </row>
    <row r="39" spans="2:16" x14ac:dyDescent="0.2">
      <c r="B39" s="7">
        <v>42859</v>
      </c>
      <c r="C39" s="22" t="s">
        <v>13</v>
      </c>
      <c r="D39" s="23">
        <v>5626</v>
      </c>
      <c r="E39" s="6">
        <v>59</v>
      </c>
      <c r="F39" s="24">
        <v>96.759999999999991</v>
      </c>
      <c r="G39" s="25">
        <v>1.0500000000000001E-2</v>
      </c>
      <c r="H39" s="19">
        <v>4</v>
      </c>
      <c r="I39" s="25">
        <v>7.1199999999999999E-2</v>
      </c>
      <c r="J39" s="22" t="s">
        <v>16</v>
      </c>
      <c r="K39" s="23">
        <v>1938</v>
      </c>
      <c r="L39" s="6">
        <v>45</v>
      </c>
      <c r="M39" s="24">
        <v>105.3</v>
      </c>
      <c r="N39" s="25">
        <v>2.3300000000000001E-2</v>
      </c>
      <c r="O39" s="19">
        <v>5</v>
      </c>
      <c r="P39" s="25">
        <v>0.1186</v>
      </c>
    </row>
    <row r="40" spans="2:16" x14ac:dyDescent="0.2">
      <c r="B40" s="7">
        <v>42860</v>
      </c>
      <c r="C40" s="22" t="s">
        <v>13</v>
      </c>
      <c r="D40" s="23">
        <v>4347</v>
      </c>
      <c r="E40" s="6">
        <v>53</v>
      </c>
      <c r="F40" s="24">
        <v>93.81</v>
      </c>
      <c r="G40" s="25">
        <v>1.21E-2</v>
      </c>
      <c r="H40" s="19">
        <v>3</v>
      </c>
      <c r="I40" s="25">
        <v>6.4299999999999996E-2</v>
      </c>
      <c r="J40" s="22" t="s">
        <v>16</v>
      </c>
      <c r="K40" s="23">
        <v>2088</v>
      </c>
      <c r="L40" s="6">
        <v>42</v>
      </c>
      <c r="M40" s="24">
        <v>86.1</v>
      </c>
      <c r="N40" s="25">
        <v>2.0299999999999999E-2</v>
      </c>
      <c r="O40" s="19">
        <v>4</v>
      </c>
      <c r="P40" s="25">
        <v>9.5399999999999999E-2</v>
      </c>
    </row>
    <row r="41" spans="2:16" x14ac:dyDescent="0.2">
      <c r="B41" s="7">
        <v>42861</v>
      </c>
      <c r="C41" s="22" t="s">
        <v>13</v>
      </c>
      <c r="D41" s="23">
        <v>4454</v>
      </c>
      <c r="E41" s="6">
        <v>35</v>
      </c>
      <c r="F41" s="24">
        <v>68.599999999999994</v>
      </c>
      <c r="G41" s="25">
        <v>7.7999999999999996E-3</v>
      </c>
      <c r="H41" s="19">
        <v>2</v>
      </c>
      <c r="I41" s="25">
        <v>6.9400000000000003E-2</v>
      </c>
      <c r="J41" s="22" t="s">
        <v>16</v>
      </c>
      <c r="K41" s="23">
        <v>1890</v>
      </c>
      <c r="L41" s="6">
        <v>35</v>
      </c>
      <c r="M41" s="24">
        <v>67.899999999999991</v>
      </c>
      <c r="N41" s="25">
        <v>1.83E-2</v>
      </c>
      <c r="O41" s="19">
        <v>3</v>
      </c>
      <c r="P41" s="25">
        <v>9.2999999999999999E-2</v>
      </c>
    </row>
    <row r="42" spans="2:16" x14ac:dyDescent="0.2">
      <c r="B42" s="7">
        <v>42862</v>
      </c>
      <c r="C42" s="22" t="s">
        <v>13</v>
      </c>
      <c r="D42" s="23">
        <v>4586</v>
      </c>
      <c r="E42" s="6">
        <v>64</v>
      </c>
      <c r="F42" s="24">
        <v>69.760000000000005</v>
      </c>
      <c r="G42" s="25">
        <v>1.3899999999999999E-2</v>
      </c>
      <c r="H42" s="19">
        <v>4</v>
      </c>
      <c r="I42" s="25">
        <v>6.7100000000000007E-2</v>
      </c>
      <c r="J42" s="22" t="s">
        <v>16</v>
      </c>
      <c r="K42" s="23">
        <v>1068</v>
      </c>
      <c r="L42" s="6">
        <v>18</v>
      </c>
      <c r="M42" s="24">
        <v>37.44</v>
      </c>
      <c r="N42" s="25">
        <v>1.6899999999999998E-2</v>
      </c>
      <c r="O42" s="19">
        <v>2</v>
      </c>
      <c r="P42" s="25">
        <v>9.9400000000000002E-2</v>
      </c>
    </row>
    <row r="43" spans="2:16" x14ac:dyDescent="0.2">
      <c r="B43" s="7">
        <v>42863</v>
      </c>
      <c r="C43" s="22" t="s">
        <v>13</v>
      </c>
      <c r="D43" s="23">
        <v>4535</v>
      </c>
      <c r="E43" s="6">
        <v>63</v>
      </c>
      <c r="F43" s="24">
        <v>118.44</v>
      </c>
      <c r="G43" s="25">
        <v>1.38E-2</v>
      </c>
      <c r="H43" s="19">
        <v>5</v>
      </c>
      <c r="I43" s="25">
        <v>7.2499999999999995E-2</v>
      </c>
      <c r="J43" s="22" t="s">
        <v>16</v>
      </c>
      <c r="K43" s="23">
        <v>2248</v>
      </c>
      <c r="L43" s="6">
        <v>42</v>
      </c>
      <c r="M43" s="24">
        <v>69.3</v>
      </c>
      <c r="N43" s="25">
        <v>1.8800000000000001E-2</v>
      </c>
      <c r="O43" s="19">
        <v>4</v>
      </c>
      <c r="P43" s="25">
        <v>0.1057</v>
      </c>
    </row>
    <row r="44" spans="2:16" x14ac:dyDescent="0.2">
      <c r="B44" s="7">
        <v>42864</v>
      </c>
      <c r="C44" s="22" t="s">
        <v>13</v>
      </c>
      <c r="D44" s="23">
        <v>6556</v>
      </c>
      <c r="E44" s="6">
        <v>81</v>
      </c>
      <c r="F44" s="24">
        <v>92.339999999999989</v>
      </c>
      <c r="G44" s="25">
        <v>1.24E-2</v>
      </c>
      <c r="H44" s="19">
        <v>6</v>
      </c>
      <c r="I44" s="25">
        <v>7.0099999999999996E-2</v>
      </c>
      <c r="J44" s="22" t="s">
        <v>16</v>
      </c>
      <c r="K44" s="23">
        <v>2899</v>
      </c>
      <c r="L44" s="6">
        <v>54</v>
      </c>
      <c r="M44" s="24">
        <v>83.16</v>
      </c>
      <c r="N44" s="25">
        <v>1.8599999999999998E-2</v>
      </c>
      <c r="O44" s="19">
        <v>7</v>
      </c>
      <c r="P44" s="25">
        <v>0.1242</v>
      </c>
    </row>
    <row r="45" spans="2:16" x14ac:dyDescent="0.2">
      <c r="B45" s="7">
        <v>42865</v>
      </c>
      <c r="C45" s="22" t="s">
        <v>13</v>
      </c>
      <c r="D45" s="23">
        <v>4993</v>
      </c>
      <c r="E45" s="6">
        <v>64</v>
      </c>
      <c r="F45" s="24">
        <v>125.44</v>
      </c>
      <c r="G45" s="25">
        <v>1.2800000000000001E-2</v>
      </c>
      <c r="H45" s="19">
        <v>4</v>
      </c>
      <c r="I45" s="25">
        <v>6.0900000000000003E-2</v>
      </c>
      <c r="J45" s="22" t="s">
        <v>16</v>
      </c>
      <c r="K45" s="23">
        <v>1082</v>
      </c>
      <c r="L45" s="6">
        <v>27</v>
      </c>
      <c r="M45" s="24">
        <v>62.639999999999993</v>
      </c>
      <c r="N45" s="25">
        <v>2.4500000000000001E-2</v>
      </c>
      <c r="O45" s="19">
        <v>3</v>
      </c>
      <c r="P45" s="25">
        <v>0.1207</v>
      </c>
    </row>
    <row r="46" spans="2:16" x14ac:dyDescent="0.2">
      <c r="B46" s="7">
        <v>42866</v>
      </c>
      <c r="C46" s="22" t="s">
        <v>13</v>
      </c>
      <c r="D46" s="23">
        <v>4100</v>
      </c>
      <c r="E46" s="6">
        <v>41</v>
      </c>
      <c r="F46" s="24">
        <v>49.199999999999996</v>
      </c>
      <c r="G46" s="25">
        <v>9.9000000000000008E-3</v>
      </c>
      <c r="H46" s="19">
        <v>3</v>
      </c>
      <c r="I46" s="25">
        <v>6.2300000000000001E-2</v>
      </c>
      <c r="J46" s="22" t="s">
        <v>16</v>
      </c>
      <c r="K46" s="23">
        <v>2491</v>
      </c>
      <c r="L46" s="6">
        <v>59</v>
      </c>
      <c r="M46" s="24">
        <v>106.79</v>
      </c>
      <c r="N46" s="25">
        <v>2.3800000000000002E-2</v>
      </c>
      <c r="O46" s="19">
        <v>7</v>
      </c>
      <c r="P46" s="25">
        <v>0.1118</v>
      </c>
    </row>
    <row r="47" spans="2:16" x14ac:dyDescent="0.2">
      <c r="B47" s="7">
        <v>42867</v>
      </c>
      <c r="C47" s="22" t="s">
        <v>13</v>
      </c>
      <c r="D47" s="23">
        <v>5050</v>
      </c>
      <c r="E47" s="6">
        <v>76</v>
      </c>
      <c r="F47" s="24">
        <v>161.12</v>
      </c>
      <c r="G47" s="25">
        <v>1.4999999999999999E-2</v>
      </c>
      <c r="H47" s="19">
        <v>5</v>
      </c>
      <c r="I47" s="25">
        <v>6.88E-2</v>
      </c>
      <c r="J47" s="22" t="s">
        <v>16</v>
      </c>
      <c r="K47" s="23">
        <v>1092</v>
      </c>
      <c r="L47" s="6">
        <v>14</v>
      </c>
      <c r="M47" s="24">
        <v>32.199999999999996</v>
      </c>
      <c r="N47" s="25">
        <v>1.26E-2</v>
      </c>
      <c r="O47" s="19">
        <v>1</v>
      </c>
      <c r="P47" s="25">
        <v>9.0399999999999994E-2</v>
      </c>
    </row>
    <row r="48" spans="2:16" x14ac:dyDescent="0.2">
      <c r="B48" s="7">
        <v>42868</v>
      </c>
      <c r="C48" s="22" t="s">
        <v>13</v>
      </c>
      <c r="D48" s="23">
        <v>5051</v>
      </c>
      <c r="E48" s="6">
        <v>60</v>
      </c>
      <c r="F48" s="24">
        <v>104.4</v>
      </c>
      <c r="G48" s="25">
        <v>1.18E-2</v>
      </c>
      <c r="H48" s="19">
        <v>4</v>
      </c>
      <c r="I48" s="25">
        <v>7.3099999999999998E-2</v>
      </c>
      <c r="J48" s="22" t="s">
        <v>16</v>
      </c>
      <c r="K48" s="23">
        <v>1893</v>
      </c>
      <c r="L48" s="6">
        <v>44</v>
      </c>
      <c r="M48" s="24">
        <v>97.68</v>
      </c>
      <c r="N48" s="25">
        <v>2.3199999999999998E-2</v>
      </c>
      <c r="O48" s="19">
        <v>5</v>
      </c>
      <c r="P48" s="25">
        <v>0.1145</v>
      </c>
    </row>
    <row r="49" spans="2:16" x14ac:dyDescent="0.2">
      <c r="B49" s="7">
        <v>42869</v>
      </c>
      <c r="C49" s="22" t="s">
        <v>13</v>
      </c>
      <c r="D49" s="23">
        <v>6264</v>
      </c>
      <c r="E49" s="6">
        <v>87</v>
      </c>
      <c r="F49" s="24">
        <v>87.87</v>
      </c>
      <c r="G49" s="25">
        <v>1.3899999999999999E-2</v>
      </c>
      <c r="H49" s="19">
        <v>6</v>
      </c>
      <c r="I49" s="25">
        <v>6.7100000000000007E-2</v>
      </c>
      <c r="J49" s="22" t="s">
        <v>16</v>
      </c>
      <c r="K49" s="23">
        <v>1188</v>
      </c>
      <c r="L49" s="6">
        <v>26</v>
      </c>
      <c r="M49" s="24">
        <v>58.240000000000009</v>
      </c>
      <c r="N49" s="25">
        <v>2.1700000000000001E-2</v>
      </c>
      <c r="O49" s="19">
        <v>3</v>
      </c>
      <c r="P49" s="25">
        <v>0.1187</v>
      </c>
    </row>
    <row r="50" spans="2:16" x14ac:dyDescent="0.2">
      <c r="B50" s="7">
        <v>42870</v>
      </c>
      <c r="C50" s="22" t="s">
        <v>13</v>
      </c>
      <c r="D50" s="23">
        <v>6902</v>
      </c>
      <c r="E50" s="6">
        <v>57</v>
      </c>
      <c r="F50" s="24">
        <v>115.71</v>
      </c>
      <c r="G50" s="25">
        <v>8.3000000000000001E-3</v>
      </c>
      <c r="H50" s="19">
        <v>4</v>
      </c>
      <c r="I50" s="25">
        <v>6.7599999999999993E-2</v>
      </c>
      <c r="J50" s="22" t="s">
        <v>16</v>
      </c>
      <c r="K50" s="23">
        <v>2961</v>
      </c>
      <c r="L50" s="6">
        <v>43</v>
      </c>
      <c r="M50" s="24">
        <v>68.8</v>
      </c>
      <c r="N50" s="25">
        <v>1.44E-2</v>
      </c>
      <c r="O50" s="19">
        <v>5</v>
      </c>
      <c r="P50" s="25">
        <v>0.1201</v>
      </c>
    </row>
    <row r="51" spans="2:16" x14ac:dyDescent="0.2">
      <c r="B51" s="7">
        <v>42871</v>
      </c>
      <c r="C51" s="22" t="s">
        <v>13</v>
      </c>
      <c r="D51" s="23">
        <v>4136</v>
      </c>
      <c r="E51" s="6">
        <v>35</v>
      </c>
      <c r="F51" s="24">
        <v>54.95</v>
      </c>
      <c r="G51" s="25">
        <v>8.5000000000000006E-3</v>
      </c>
      <c r="H51" s="19">
        <v>2</v>
      </c>
      <c r="I51" s="25">
        <v>6.1100000000000002E-2</v>
      </c>
      <c r="J51" s="22" t="s">
        <v>16</v>
      </c>
      <c r="K51" s="23">
        <v>2731</v>
      </c>
      <c r="L51" s="6">
        <v>61</v>
      </c>
      <c r="M51" s="24">
        <v>128.70999999999998</v>
      </c>
      <c r="N51" s="25">
        <v>2.2499999999999999E-2</v>
      </c>
      <c r="O51" s="19">
        <v>6</v>
      </c>
      <c r="P51" s="25">
        <v>9.8299999999999998E-2</v>
      </c>
    </row>
    <row r="52" spans="2:16" x14ac:dyDescent="0.2">
      <c r="B52" s="7">
        <v>42872</v>
      </c>
      <c r="C52" s="22" t="s">
        <v>13</v>
      </c>
      <c r="D52" s="23">
        <v>6078</v>
      </c>
      <c r="E52" s="6">
        <v>57</v>
      </c>
      <c r="F52" s="24">
        <v>125.4</v>
      </c>
      <c r="G52" s="25">
        <v>9.4000000000000004E-3</v>
      </c>
      <c r="H52" s="19">
        <v>4</v>
      </c>
      <c r="I52" s="25">
        <v>6.5799999999999997E-2</v>
      </c>
      <c r="J52" s="22" t="s">
        <v>16</v>
      </c>
      <c r="K52" s="23">
        <v>2077</v>
      </c>
      <c r="L52" s="6">
        <v>51</v>
      </c>
      <c r="M52" s="24">
        <v>119.33999999999999</v>
      </c>
      <c r="N52" s="25">
        <v>2.47E-2</v>
      </c>
      <c r="O52" s="19">
        <v>6</v>
      </c>
      <c r="P52" s="25">
        <v>0.1145</v>
      </c>
    </row>
    <row r="53" spans="2:16" x14ac:dyDescent="0.2">
      <c r="B53" s="7">
        <v>42873</v>
      </c>
      <c r="C53" s="22" t="s">
        <v>13</v>
      </c>
      <c r="D53" s="23">
        <v>6722</v>
      </c>
      <c r="E53" s="6">
        <v>77</v>
      </c>
      <c r="F53" s="24">
        <v>129.35999999999999</v>
      </c>
      <c r="G53" s="25">
        <v>1.14E-2</v>
      </c>
      <c r="H53" s="19">
        <v>5</v>
      </c>
      <c r="I53" s="25">
        <v>6.13E-2</v>
      </c>
      <c r="J53" s="22" t="s">
        <v>16</v>
      </c>
      <c r="K53" s="23">
        <v>1518</v>
      </c>
      <c r="L53" s="6">
        <v>20</v>
      </c>
      <c r="M53" s="24">
        <v>48.8</v>
      </c>
      <c r="N53" s="25">
        <v>1.29E-2</v>
      </c>
      <c r="O53" s="19">
        <v>2</v>
      </c>
      <c r="P53" s="25">
        <v>9.2200000000000004E-2</v>
      </c>
    </row>
    <row r="54" spans="2:16" x14ac:dyDescent="0.2">
      <c r="B54" s="7">
        <v>42874</v>
      </c>
      <c r="C54" s="22" t="s">
        <v>13</v>
      </c>
      <c r="D54" s="23">
        <v>6509</v>
      </c>
      <c r="E54" s="6">
        <v>90</v>
      </c>
      <c r="F54" s="24">
        <v>104.39999999999999</v>
      </c>
      <c r="G54" s="25">
        <v>1.38E-2</v>
      </c>
      <c r="H54" s="19">
        <v>6</v>
      </c>
      <c r="I54" s="25">
        <v>6.1400000000000003E-2</v>
      </c>
      <c r="J54" s="22" t="s">
        <v>16</v>
      </c>
      <c r="K54" s="23">
        <v>1279</v>
      </c>
      <c r="L54" s="6">
        <v>22</v>
      </c>
      <c r="M54" s="24">
        <v>52.14</v>
      </c>
      <c r="N54" s="25">
        <v>1.72E-2</v>
      </c>
      <c r="O54" s="19">
        <v>2</v>
      </c>
      <c r="P54" s="25">
        <v>9.4100000000000003E-2</v>
      </c>
    </row>
    <row r="55" spans="2:16" x14ac:dyDescent="0.2">
      <c r="B55" s="7">
        <v>42875</v>
      </c>
      <c r="C55" s="22" t="s">
        <v>13</v>
      </c>
      <c r="D55" s="23">
        <v>6912</v>
      </c>
      <c r="E55" s="6">
        <v>53</v>
      </c>
      <c r="F55" s="24">
        <v>110.24000000000001</v>
      </c>
      <c r="G55" s="25">
        <v>7.7000000000000002E-3</v>
      </c>
      <c r="H55" s="19">
        <v>4</v>
      </c>
      <c r="I55" s="25">
        <v>6.9000000000000006E-2</v>
      </c>
      <c r="J55" s="22" t="s">
        <v>16</v>
      </c>
      <c r="K55" s="23">
        <v>2898</v>
      </c>
      <c r="L55" s="6">
        <v>52</v>
      </c>
      <c r="M55" s="24">
        <v>123.24000000000001</v>
      </c>
      <c r="N55" s="25">
        <v>1.8100000000000002E-2</v>
      </c>
      <c r="O55" s="19">
        <v>6</v>
      </c>
      <c r="P55" s="25">
        <v>0.1217</v>
      </c>
    </row>
    <row r="56" spans="2:16" x14ac:dyDescent="0.2">
      <c r="B56" s="7">
        <v>42876</v>
      </c>
      <c r="C56" s="22" t="s">
        <v>13</v>
      </c>
      <c r="D56" s="23">
        <v>6528</v>
      </c>
      <c r="E56" s="6">
        <v>87</v>
      </c>
      <c r="F56" s="24">
        <v>129.63</v>
      </c>
      <c r="G56" s="25">
        <v>1.3299999999999999E-2</v>
      </c>
      <c r="H56" s="19">
        <v>5</v>
      </c>
      <c r="I56" s="25">
        <v>6.2399999999999997E-2</v>
      </c>
      <c r="J56" s="22" t="s">
        <v>16</v>
      </c>
      <c r="K56" s="23">
        <v>1071</v>
      </c>
      <c r="L56" s="6">
        <v>16</v>
      </c>
      <c r="M56" s="24">
        <v>34.08</v>
      </c>
      <c r="N56" s="25">
        <v>1.5100000000000001E-2</v>
      </c>
      <c r="O56" s="19">
        <v>2</v>
      </c>
      <c r="P56" s="25">
        <v>0.1074</v>
      </c>
    </row>
    <row r="57" spans="2:16" x14ac:dyDescent="0.2">
      <c r="B57" s="7">
        <v>42877</v>
      </c>
      <c r="C57" s="22" t="s">
        <v>13</v>
      </c>
      <c r="D57" s="23">
        <v>6880</v>
      </c>
      <c r="E57" s="6">
        <v>70</v>
      </c>
      <c r="F57" s="24">
        <v>139.30000000000001</v>
      </c>
      <c r="G57" s="25">
        <v>1.0200000000000001E-2</v>
      </c>
      <c r="H57" s="19">
        <v>5</v>
      </c>
      <c r="I57" s="25">
        <v>7.4899999999999994E-2</v>
      </c>
      <c r="J57" s="22" t="s">
        <v>16</v>
      </c>
      <c r="K57" s="23">
        <v>2661</v>
      </c>
      <c r="L57" s="6">
        <v>52</v>
      </c>
      <c r="M57" s="24">
        <v>111.28</v>
      </c>
      <c r="N57" s="25">
        <v>1.9599999999999999E-2</v>
      </c>
      <c r="O57" s="19">
        <v>5</v>
      </c>
      <c r="P57" s="25">
        <v>0.1045</v>
      </c>
    </row>
    <row r="58" spans="2:16" x14ac:dyDescent="0.2">
      <c r="B58" s="7">
        <v>42878</v>
      </c>
      <c r="C58" s="22" t="s">
        <v>13</v>
      </c>
      <c r="D58" s="23">
        <v>6955</v>
      </c>
      <c r="E58" s="6">
        <v>79</v>
      </c>
      <c r="F58" s="24">
        <v>117.71</v>
      </c>
      <c r="G58" s="25">
        <v>1.14E-2</v>
      </c>
      <c r="H58" s="19">
        <v>6</v>
      </c>
      <c r="I58" s="25">
        <v>7.1599999999999997E-2</v>
      </c>
      <c r="J58" s="22" t="s">
        <v>16</v>
      </c>
      <c r="K58" s="23">
        <v>1762</v>
      </c>
      <c r="L58" s="6">
        <v>42</v>
      </c>
      <c r="M58" s="24">
        <v>64.680000000000007</v>
      </c>
      <c r="N58" s="25">
        <v>2.41E-2</v>
      </c>
      <c r="O58" s="19">
        <v>4</v>
      </c>
      <c r="P58" s="25">
        <v>9.9699999999999997E-2</v>
      </c>
    </row>
    <row r="59" spans="2:16" x14ac:dyDescent="0.2">
      <c r="B59" s="7">
        <v>42879</v>
      </c>
      <c r="C59" s="22" t="s">
        <v>13</v>
      </c>
      <c r="D59" s="23">
        <v>5368</v>
      </c>
      <c r="E59" s="6">
        <v>42</v>
      </c>
      <c r="F59" s="24">
        <v>77.28</v>
      </c>
      <c r="G59" s="25">
        <v>7.9000000000000008E-3</v>
      </c>
      <c r="H59" s="19">
        <v>3</v>
      </c>
      <c r="I59" s="25">
        <v>7.2499999999999995E-2</v>
      </c>
      <c r="J59" s="22" t="s">
        <v>16</v>
      </c>
      <c r="K59" s="23">
        <v>2713</v>
      </c>
      <c r="L59" s="6">
        <v>56</v>
      </c>
      <c r="M59" s="24">
        <v>134.4</v>
      </c>
      <c r="N59" s="25">
        <v>2.06E-2</v>
      </c>
      <c r="O59" s="19">
        <v>7</v>
      </c>
      <c r="P59" s="25">
        <v>0.12230000000000001</v>
      </c>
    </row>
    <row r="60" spans="2:16" x14ac:dyDescent="0.2">
      <c r="B60" s="7">
        <v>42880</v>
      </c>
      <c r="C60" s="22" t="s">
        <v>13</v>
      </c>
      <c r="D60" s="23">
        <v>6698</v>
      </c>
      <c r="E60" s="6">
        <v>74</v>
      </c>
      <c r="F60" s="24">
        <v>162.06</v>
      </c>
      <c r="G60" s="25">
        <v>1.11E-2</v>
      </c>
      <c r="H60" s="19">
        <v>5</v>
      </c>
      <c r="I60" s="25">
        <v>7.4099999999999999E-2</v>
      </c>
      <c r="J60" s="22" t="s">
        <v>16</v>
      </c>
      <c r="K60" s="23">
        <v>2819</v>
      </c>
      <c r="L60" s="6">
        <v>37</v>
      </c>
      <c r="M60" s="24">
        <v>57.72</v>
      </c>
      <c r="N60" s="25">
        <v>1.3100000000000001E-2</v>
      </c>
      <c r="O60" s="19">
        <v>4</v>
      </c>
      <c r="P60" s="25">
        <v>0.12130000000000001</v>
      </c>
    </row>
    <row r="61" spans="2:16" x14ac:dyDescent="0.2">
      <c r="B61" s="7">
        <v>42881</v>
      </c>
      <c r="C61" s="22" t="s">
        <v>13</v>
      </c>
      <c r="D61" s="23">
        <v>5440</v>
      </c>
      <c r="E61" s="6">
        <v>78</v>
      </c>
      <c r="F61" s="24">
        <v>99.84</v>
      </c>
      <c r="G61" s="25">
        <v>1.44E-2</v>
      </c>
      <c r="H61" s="19">
        <v>5</v>
      </c>
      <c r="I61" s="25">
        <v>6.3299999999999995E-2</v>
      </c>
      <c r="J61" s="22" t="s">
        <v>16</v>
      </c>
      <c r="K61" s="23">
        <v>2115</v>
      </c>
      <c r="L61" s="6">
        <v>32</v>
      </c>
      <c r="M61" s="24">
        <v>70.08</v>
      </c>
      <c r="N61" s="25">
        <v>1.5100000000000001E-2</v>
      </c>
      <c r="O61" s="19">
        <v>3</v>
      </c>
      <c r="P61" s="25">
        <v>0.1037</v>
      </c>
    </row>
    <row r="62" spans="2:16" x14ac:dyDescent="0.2">
      <c r="B62" s="7">
        <v>42882</v>
      </c>
      <c r="C62" s="22" t="s">
        <v>13</v>
      </c>
      <c r="D62" s="23">
        <v>4183</v>
      </c>
      <c r="E62" s="6">
        <v>62</v>
      </c>
      <c r="F62" s="24">
        <v>101.05999999999999</v>
      </c>
      <c r="G62" s="25">
        <v>1.49E-2</v>
      </c>
      <c r="H62" s="19">
        <v>4</v>
      </c>
      <c r="I62" s="25">
        <v>6.4899999999999999E-2</v>
      </c>
      <c r="J62" s="22" t="s">
        <v>16</v>
      </c>
      <c r="K62" s="23">
        <v>1419</v>
      </c>
      <c r="L62" s="6">
        <v>32</v>
      </c>
      <c r="M62" s="24">
        <v>64.64</v>
      </c>
      <c r="N62" s="25">
        <v>2.2700000000000001E-2</v>
      </c>
      <c r="O62" s="19">
        <v>3</v>
      </c>
      <c r="P62" s="25">
        <v>0.1043</v>
      </c>
    </row>
    <row r="63" spans="2:16" x14ac:dyDescent="0.2">
      <c r="B63" s="7">
        <v>42883</v>
      </c>
      <c r="C63" s="22" t="s">
        <v>13</v>
      </c>
      <c r="D63" s="23">
        <v>6709</v>
      </c>
      <c r="E63" s="6">
        <v>54</v>
      </c>
      <c r="F63" s="24">
        <v>112.85999999999999</v>
      </c>
      <c r="G63" s="25">
        <v>8.0000000000000002E-3</v>
      </c>
      <c r="H63" s="19">
        <v>4</v>
      </c>
      <c r="I63" s="25">
        <v>6.9000000000000006E-2</v>
      </c>
      <c r="J63" s="22" t="s">
        <v>16</v>
      </c>
      <c r="K63" s="23">
        <v>2316</v>
      </c>
      <c r="L63" s="6">
        <v>54</v>
      </c>
      <c r="M63" s="24">
        <v>116.64000000000001</v>
      </c>
      <c r="N63" s="25">
        <v>2.3300000000000001E-2</v>
      </c>
      <c r="O63" s="19">
        <v>7</v>
      </c>
      <c r="P63" s="25">
        <v>0.1237</v>
      </c>
    </row>
    <row r="64" spans="2:16" x14ac:dyDescent="0.2">
      <c r="B64" s="7">
        <v>42884</v>
      </c>
      <c r="C64" s="22" t="s">
        <v>13</v>
      </c>
      <c r="D64" s="23">
        <v>5918</v>
      </c>
      <c r="E64" s="6">
        <v>46</v>
      </c>
      <c r="F64" s="24">
        <v>57.96</v>
      </c>
      <c r="G64" s="25">
        <v>7.7000000000000002E-3</v>
      </c>
      <c r="H64" s="19">
        <v>3</v>
      </c>
      <c r="I64" s="25">
        <v>7.4800000000000005E-2</v>
      </c>
      <c r="J64" s="22" t="s">
        <v>16</v>
      </c>
      <c r="K64" s="23">
        <v>2777</v>
      </c>
      <c r="L64" s="6">
        <v>48</v>
      </c>
      <c r="M64" s="24">
        <v>96.47999999999999</v>
      </c>
      <c r="N64" s="25">
        <v>1.7399999999999999E-2</v>
      </c>
      <c r="O64" s="19">
        <v>4</v>
      </c>
      <c r="P64" s="25">
        <v>9.1300000000000006E-2</v>
      </c>
    </row>
    <row r="65" spans="2:16" x14ac:dyDescent="0.2">
      <c r="B65" s="7">
        <v>42885</v>
      </c>
      <c r="C65" s="22" t="s">
        <v>13</v>
      </c>
      <c r="D65" s="23">
        <v>5768</v>
      </c>
      <c r="E65" s="6">
        <v>67</v>
      </c>
      <c r="F65" s="24">
        <v>103.85000000000001</v>
      </c>
      <c r="G65" s="25">
        <v>1.1599999999999999E-2</v>
      </c>
      <c r="H65" s="19">
        <v>5</v>
      </c>
      <c r="I65" s="25">
        <v>6.9099999999999995E-2</v>
      </c>
      <c r="J65" s="22" t="s">
        <v>16</v>
      </c>
      <c r="K65" s="23">
        <v>1122</v>
      </c>
      <c r="L65" s="6">
        <v>27</v>
      </c>
      <c r="M65" s="24">
        <v>41.85</v>
      </c>
      <c r="N65" s="25">
        <v>2.3699999999999999E-2</v>
      </c>
      <c r="O65" s="19">
        <v>3</v>
      </c>
      <c r="P65" s="25">
        <v>0.11</v>
      </c>
    </row>
    <row r="66" spans="2:16" x14ac:dyDescent="0.2">
      <c r="B66" s="7">
        <v>42886</v>
      </c>
      <c r="C66" s="22" t="s">
        <v>13</v>
      </c>
      <c r="D66" s="23">
        <v>4910</v>
      </c>
      <c r="E66" s="6">
        <v>56</v>
      </c>
      <c r="F66" s="24">
        <v>59.36</v>
      </c>
      <c r="G66" s="25">
        <v>1.15E-2</v>
      </c>
      <c r="H66" s="19">
        <v>4</v>
      </c>
      <c r="I66" s="25">
        <v>6.7000000000000004E-2</v>
      </c>
      <c r="J66" s="22" t="s">
        <v>16</v>
      </c>
      <c r="K66" s="23">
        <v>2520</v>
      </c>
      <c r="L66" s="6">
        <v>39</v>
      </c>
      <c r="M66" s="24">
        <v>59.28</v>
      </c>
      <c r="N66" s="25">
        <v>1.5599999999999999E-2</v>
      </c>
      <c r="O66" s="19">
        <v>4</v>
      </c>
      <c r="P66" s="25">
        <v>9.2600000000000002E-2</v>
      </c>
    </row>
    <row r="67" spans="2:16" x14ac:dyDescent="0.2">
      <c r="B67" s="7">
        <v>42887</v>
      </c>
      <c r="C67" s="22" t="s">
        <v>14</v>
      </c>
      <c r="D67" s="23">
        <v>4160</v>
      </c>
      <c r="E67" s="6">
        <v>62</v>
      </c>
      <c r="F67" s="24">
        <v>98.58</v>
      </c>
      <c r="G67" s="25">
        <v>1.49E-2</v>
      </c>
      <c r="H67" s="19">
        <v>4</v>
      </c>
      <c r="I67" s="25">
        <v>6.3100000000000003E-2</v>
      </c>
      <c r="J67" s="22" t="s">
        <v>17</v>
      </c>
      <c r="K67" s="23">
        <v>2673</v>
      </c>
      <c r="L67" s="6">
        <v>40</v>
      </c>
      <c r="M67" s="24">
        <v>63.6</v>
      </c>
      <c r="N67" s="25">
        <v>1.4999999999999999E-2</v>
      </c>
      <c r="O67" s="19">
        <v>4</v>
      </c>
      <c r="P67" s="25">
        <v>9.74E-2</v>
      </c>
    </row>
    <row r="68" spans="2:16" x14ac:dyDescent="0.2">
      <c r="B68" s="7">
        <v>42888</v>
      </c>
      <c r="C68" s="22" t="s">
        <v>14</v>
      </c>
      <c r="D68" s="23">
        <v>5284</v>
      </c>
      <c r="E68" s="6">
        <v>52</v>
      </c>
      <c r="F68" s="24">
        <v>76.44</v>
      </c>
      <c r="G68" s="25">
        <v>9.9000000000000008E-3</v>
      </c>
      <c r="H68" s="19">
        <v>4</v>
      </c>
      <c r="I68" s="25">
        <v>6.9900000000000004E-2</v>
      </c>
      <c r="J68" s="22" t="s">
        <v>17</v>
      </c>
      <c r="K68" s="23">
        <v>1632</v>
      </c>
      <c r="L68" s="6">
        <v>28</v>
      </c>
      <c r="M68" s="24">
        <v>54.04</v>
      </c>
      <c r="N68" s="25">
        <v>1.72E-2</v>
      </c>
      <c r="O68" s="19">
        <v>3</v>
      </c>
      <c r="P68" s="25">
        <v>0.1143</v>
      </c>
    </row>
    <row r="69" spans="2:16" x14ac:dyDescent="0.2">
      <c r="B69" s="7">
        <v>42889</v>
      </c>
      <c r="C69" s="22" t="s">
        <v>14</v>
      </c>
      <c r="D69" s="23">
        <v>6939</v>
      </c>
      <c r="E69" s="6">
        <v>56</v>
      </c>
      <c r="F69" s="24">
        <v>63.279999999999994</v>
      </c>
      <c r="G69" s="25">
        <v>8.0999999999999996E-3</v>
      </c>
      <c r="H69" s="19">
        <v>3</v>
      </c>
      <c r="I69" s="25">
        <v>0.06</v>
      </c>
      <c r="J69" s="22" t="s">
        <v>17</v>
      </c>
      <c r="K69" s="23">
        <v>2077</v>
      </c>
      <c r="L69" s="6">
        <v>26</v>
      </c>
      <c r="M69" s="24">
        <v>62.14</v>
      </c>
      <c r="N69" s="25">
        <v>1.2699999999999999E-2</v>
      </c>
      <c r="O69" s="19">
        <v>3</v>
      </c>
      <c r="P69" s="25">
        <v>0.10630000000000001</v>
      </c>
    </row>
    <row r="70" spans="2:16" x14ac:dyDescent="0.2">
      <c r="B70" s="7">
        <v>42890</v>
      </c>
      <c r="C70" s="22" t="s">
        <v>14</v>
      </c>
      <c r="D70" s="23">
        <v>6439</v>
      </c>
      <c r="E70" s="6">
        <v>73</v>
      </c>
      <c r="F70" s="24">
        <v>139.43</v>
      </c>
      <c r="G70" s="25">
        <v>1.14E-2</v>
      </c>
      <c r="H70" s="19">
        <v>4</v>
      </c>
      <c r="I70" s="25">
        <v>6.1400000000000003E-2</v>
      </c>
      <c r="J70" s="22" t="s">
        <v>17</v>
      </c>
      <c r="K70" s="23">
        <v>2742</v>
      </c>
      <c r="L70" s="6">
        <v>38</v>
      </c>
      <c r="M70" s="24">
        <v>59.28</v>
      </c>
      <c r="N70" s="25">
        <v>1.4E-2</v>
      </c>
      <c r="O70" s="19">
        <v>4</v>
      </c>
      <c r="P70" s="25">
        <v>0.1094</v>
      </c>
    </row>
    <row r="71" spans="2:16" x14ac:dyDescent="0.2">
      <c r="B71" s="7">
        <v>42891</v>
      </c>
      <c r="C71" s="22" t="s">
        <v>14</v>
      </c>
      <c r="D71" s="23">
        <v>5966</v>
      </c>
      <c r="E71" s="6">
        <v>88</v>
      </c>
      <c r="F71" s="24">
        <v>95.92</v>
      </c>
      <c r="G71" s="25">
        <v>1.4800000000000001E-2</v>
      </c>
      <c r="H71" s="19">
        <v>7</v>
      </c>
      <c r="I71" s="25">
        <v>7.46E-2</v>
      </c>
      <c r="J71" s="22" t="s">
        <v>17</v>
      </c>
      <c r="K71" s="23">
        <v>2699</v>
      </c>
      <c r="L71" s="6">
        <v>58</v>
      </c>
      <c r="M71" s="24">
        <v>121.80000000000001</v>
      </c>
      <c r="N71" s="25">
        <v>2.1399999999999999E-2</v>
      </c>
      <c r="O71" s="19">
        <v>7</v>
      </c>
      <c r="P71" s="25">
        <v>0.1229</v>
      </c>
    </row>
    <row r="72" spans="2:16" x14ac:dyDescent="0.2">
      <c r="B72" s="7">
        <v>42892</v>
      </c>
      <c r="C72" s="22" t="s">
        <v>14</v>
      </c>
      <c r="D72" s="23">
        <v>6112</v>
      </c>
      <c r="E72" s="6">
        <v>46</v>
      </c>
      <c r="F72" s="24">
        <v>63.94</v>
      </c>
      <c r="G72" s="25">
        <v>7.6E-3</v>
      </c>
      <c r="H72" s="19">
        <v>3</v>
      </c>
      <c r="I72" s="25">
        <v>7.0400000000000004E-2</v>
      </c>
      <c r="J72" s="22" t="s">
        <v>17</v>
      </c>
      <c r="K72" s="23">
        <v>2926</v>
      </c>
      <c r="L72" s="6">
        <v>59</v>
      </c>
      <c r="M72" s="24">
        <v>93.22</v>
      </c>
      <c r="N72" s="25">
        <v>2.0199999999999999E-2</v>
      </c>
      <c r="O72" s="19">
        <v>6</v>
      </c>
      <c r="P72" s="25">
        <v>9.35E-2</v>
      </c>
    </row>
    <row r="73" spans="2:16" x14ac:dyDescent="0.2">
      <c r="B73" s="7">
        <v>42893</v>
      </c>
      <c r="C73" s="22" t="s">
        <v>14</v>
      </c>
      <c r="D73" s="23">
        <v>6993</v>
      </c>
      <c r="E73" s="6">
        <v>99</v>
      </c>
      <c r="F73" s="24">
        <v>181.17000000000002</v>
      </c>
      <c r="G73" s="25">
        <v>1.41E-2</v>
      </c>
      <c r="H73" s="19">
        <v>7</v>
      </c>
      <c r="I73" s="25">
        <v>6.9000000000000006E-2</v>
      </c>
      <c r="J73" s="22" t="s">
        <v>17</v>
      </c>
      <c r="K73" s="23">
        <v>1185</v>
      </c>
      <c r="L73" s="6">
        <v>26</v>
      </c>
      <c r="M73" s="24">
        <v>59.54</v>
      </c>
      <c r="N73" s="25">
        <v>2.18E-2</v>
      </c>
      <c r="O73" s="19">
        <v>3</v>
      </c>
      <c r="P73" s="25">
        <v>0.1118</v>
      </c>
    </row>
    <row r="74" spans="2:16" x14ac:dyDescent="0.2">
      <c r="B74" s="7">
        <v>42894</v>
      </c>
      <c r="C74" s="22" t="s">
        <v>14</v>
      </c>
      <c r="D74" s="23">
        <v>6039</v>
      </c>
      <c r="E74" s="6">
        <v>64</v>
      </c>
      <c r="F74" s="24">
        <v>66.56</v>
      </c>
      <c r="G74" s="25">
        <v>1.06E-2</v>
      </c>
      <c r="H74" s="19">
        <v>4</v>
      </c>
      <c r="I74" s="25">
        <v>6.1499999999999999E-2</v>
      </c>
      <c r="J74" s="22" t="s">
        <v>17</v>
      </c>
      <c r="K74" s="23">
        <v>1006</v>
      </c>
      <c r="L74" s="6">
        <v>21</v>
      </c>
      <c r="M74" s="24">
        <v>48.3</v>
      </c>
      <c r="N74" s="25">
        <v>2.0799999999999999E-2</v>
      </c>
      <c r="O74" s="19">
        <v>2</v>
      </c>
      <c r="P74" s="25">
        <v>0.1072</v>
      </c>
    </row>
    <row r="75" spans="2:16" x14ac:dyDescent="0.2">
      <c r="B75" s="7">
        <v>42895</v>
      </c>
      <c r="C75" s="22" t="s">
        <v>14</v>
      </c>
      <c r="D75" s="23">
        <v>5736</v>
      </c>
      <c r="E75" s="6">
        <v>54</v>
      </c>
      <c r="F75" s="24">
        <v>84.240000000000009</v>
      </c>
      <c r="G75" s="25">
        <v>9.4000000000000004E-3</v>
      </c>
      <c r="H75" s="19">
        <v>4</v>
      </c>
      <c r="I75" s="25">
        <v>7.0999999999999994E-2</v>
      </c>
      <c r="J75" s="22" t="s">
        <v>17</v>
      </c>
      <c r="K75" s="23">
        <v>2289</v>
      </c>
      <c r="L75" s="6">
        <v>43</v>
      </c>
      <c r="M75" s="24">
        <v>99.33</v>
      </c>
      <c r="N75" s="25">
        <v>1.89E-2</v>
      </c>
      <c r="O75" s="19">
        <v>4</v>
      </c>
      <c r="P75" s="25">
        <v>0.1043</v>
      </c>
    </row>
    <row r="76" spans="2:16" x14ac:dyDescent="0.2">
      <c r="B76" s="7">
        <v>42896</v>
      </c>
      <c r="C76" s="22" t="s">
        <v>14</v>
      </c>
      <c r="D76" s="23">
        <v>4751</v>
      </c>
      <c r="E76" s="6">
        <v>49</v>
      </c>
      <c r="F76" s="24">
        <v>102.9</v>
      </c>
      <c r="G76" s="25">
        <v>1.04E-2</v>
      </c>
      <c r="H76" s="19">
        <v>4</v>
      </c>
      <c r="I76" s="25">
        <v>7.3599999999999999E-2</v>
      </c>
      <c r="J76" s="22" t="s">
        <v>17</v>
      </c>
      <c r="K76" s="23">
        <v>1883</v>
      </c>
      <c r="L76" s="6">
        <v>40</v>
      </c>
      <c r="M76" s="24">
        <v>72</v>
      </c>
      <c r="N76" s="25">
        <v>2.1499999999999998E-2</v>
      </c>
      <c r="O76" s="19">
        <v>4</v>
      </c>
      <c r="P76" s="25">
        <v>9.1700000000000004E-2</v>
      </c>
    </row>
    <row r="77" spans="2:16" x14ac:dyDescent="0.2">
      <c r="B77" s="7">
        <v>42897</v>
      </c>
      <c r="C77" s="22" t="s">
        <v>14</v>
      </c>
      <c r="D77" s="23">
        <v>6772</v>
      </c>
      <c r="E77" s="6">
        <v>60</v>
      </c>
      <c r="F77" s="24">
        <v>88.2</v>
      </c>
      <c r="G77" s="25">
        <v>8.8999999999999999E-3</v>
      </c>
      <c r="H77" s="19">
        <v>4</v>
      </c>
      <c r="I77" s="25">
        <v>6.0600000000000001E-2</v>
      </c>
      <c r="J77" s="22" t="s">
        <v>17</v>
      </c>
      <c r="K77" s="23">
        <v>2934</v>
      </c>
      <c r="L77" s="6">
        <v>47</v>
      </c>
      <c r="M77" s="24">
        <v>103.87</v>
      </c>
      <c r="N77" s="25">
        <v>1.5900000000000001E-2</v>
      </c>
      <c r="O77" s="19">
        <v>5</v>
      </c>
      <c r="P77" s="25">
        <v>9.64E-2</v>
      </c>
    </row>
    <row r="78" spans="2:16" x14ac:dyDescent="0.2">
      <c r="B78" s="7">
        <v>42898</v>
      </c>
      <c r="C78" s="22" t="s">
        <v>14</v>
      </c>
      <c r="D78" s="23">
        <v>6892</v>
      </c>
      <c r="E78" s="6">
        <v>78</v>
      </c>
      <c r="F78" s="24">
        <v>163.01999999999998</v>
      </c>
      <c r="G78" s="25">
        <v>1.1299999999999999E-2</v>
      </c>
      <c r="H78" s="19">
        <v>5</v>
      </c>
      <c r="I78" s="25">
        <v>6.5299999999999997E-2</v>
      </c>
      <c r="J78" s="22" t="s">
        <v>17</v>
      </c>
      <c r="K78" s="23">
        <v>1490</v>
      </c>
      <c r="L78" s="6">
        <v>30</v>
      </c>
      <c r="M78" s="24">
        <v>66.900000000000006</v>
      </c>
      <c r="N78" s="25">
        <v>2.01E-2</v>
      </c>
      <c r="O78" s="19">
        <v>4</v>
      </c>
      <c r="P78" s="25">
        <v>0.12180000000000001</v>
      </c>
    </row>
    <row r="79" spans="2:16" x14ac:dyDescent="0.2">
      <c r="B79" s="7">
        <v>42899</v>
      </c>
      <c r="C79" s="22" t="s">
        <v>14</v>
      </c>
      <c r="D79" s="23">
        <v>4049</v>
      </c>
      <c r="E79" s="6">
        <v>61</v>
      </c>
      <c r="F79" s="24">
        <v>63.440000000000005</v>
      </c>
      <c r="G79" s="25">
        <v>1.4999999999999999E-2</v>
      </c>
      <c r="H79" s="19">
        <v>4</v>
      </c>
      <c r="I79" s="25">
        <v>6.2700000000000006E-2</v>
      </c>
      <c r="J79" s="22" t="s">
        <v>17</v>
      </c>
      <c r="K79" s="23">
        <v>1427</v>
      </c>
      <c r="L79" s="6">
        <v>21</v>
      </c>
      <c r="M79" s="24">
        <v>52.290000000000006</v>
      </c>
      <c r="N79" s="25">
        <v>1.44E-2</v>
      </c>
      <c r="O79" s="19">
        <v>2</v>
      </c>
      <c r="P79" s="25">
        <v>9.4100000000000003E-2</v>
      </c>
    </row>
    <row r="80" spans="2:16" x14ac:dyDescent="0.2">
      <c r="B80" s="7">
        <v>42900</v>
      </c>
      <c r="C80" s="22" t="s">
        <v>14</v>
      </c>
      <c r="D80" s="23">
        <v>6856</v>
      </c>
      <c r="E80" s="6">
        <v>59</v>
      </c>
      <c r="F80" s="24">
        <v>68.44</v>
      </c>
      <c r="G80" s="25">
        <v>8.6E-3</v>
      </c>
      <c r="H80" s="19">
        <v>4</v>
      </c>
      <c r="I80" s="25">
        <v>6.4100000000000004E-2</v>
      </c>
      <c r="J80" s="22" t="s">
        <v>17</v>
      </c>
      <c r="K80" s="23">
        <v>2100</v>
      </c>
      <c r="L80" s="6">
        <v>42</v>
      </c>
      <c r="M80" s="24">
        <v>71.399999999999991</v>
      </c>
      <c r="N80" s="25">
        <v>2.01E-2</v>
      </c>
      <c r="O80" s="19">
        <v>4</v>
      </c>
      <c r="P80" s="25">
        <v>0.1071</v>
      </c>
    </row>
    <row r="81" spans="2:16" x14ac:dyDescent="0.2">
      <c r="B81" s="7">
        <v>42901</v>
      </c>
      <c r="C81" s="22" t="s">
        <v>14</v>
      </c>
      <c r="D81" s="23">
        <v>4201</v>
      </c>
      <c r="E81" s="6">
        <v>36</v>
      </c>
      <c r="F81" s="24">
        <v>79.92</v>
      </c>
      <c r="G81" s="25">
        <v>8.5000000000000006E-3</v>
      </c>
      <c r="H81" s="19">
        <v>2</v>
      </c>
      <c r="I81" s="25">
        <v>6.54E-2</v>
      </c>
      <c r="J81" s="22" t="s">
        <v>17</v>
      </c>
      <c r="K81" s="23">
        <v>1984</v>
      </c>
      <c r="L81" s="6">
        <v>38</v>
      </c>
      <c r="M81" s="24">
        <v>70.680000000000007</v>
      </c>
      <c r="N81" s="25">
        <v>1.9300000000000001E-2</v>
      </c>
      <c r="O81" s="19">
        <v>4</v>
      </c>
      <c r="P81" s="25">
        <v>0.1159</v>
      </c>
    </row>
    <row r="82" spans="2:16" x14ac:dyDescent="0.2">
      <c r="B82" s="7">
        <v>42902</v>
      </c>
      <c r="C82" s="22" t="s">
        <v>14</v>
      </c>
      <c r="D82" s="23">
        <v>4628</v>
      </c>
      <c r="E82" s="6">
        <v>53</v>
      </c>
      <c r="F82" s="24">
        <v>86.39</v>
      </c>
      <c r="G82" s="25">
        <v>1.14E-2</v>
      </c>
      <c r="H82" s="19">
        <v>3</v>
      </c>
      <c r="I82" s="25">
        <v>6.1800000000000001E-2</v>
      </c>
      <c r="J82" s="22" t="s">
        <v>17</v>
      </c>
      <c r="K82" s="23">
        <v>1598</v>
      </c>
      <c r="L82" s="6">
        <v>28</v>
      </c>
      <c r="M82" s="24">
        <v>66.92</v>
      </c>
      <c r="N82" s="25">
        <v>1.78E-2</v>
      </c>
      <c r="O82" s="19">
        <v>3</v>
      </c>
      <c r="P82" s="25">
        <v>0.1009</v>
      </c>
    </row>
    <row r="83" spans="2:16" x14ac:dyDescent="0.2">
      <c r="B83" s="7">
        <v>42903</v>
      </c>
      <c r="C83" s="22" t="s">
        <v>14</v>
      </c>
      <c r="D83" s="23">
        <v>4140</v>
      </c>
      <c r="E83" s="6">
        <v>52</v>
      </c>
      <c r="F83" s="24">
        <v>75.399999999999991</v>
      </c>
      <c r="G83" s="25">
        <v>1.26E-2</v>
      </c>
      <c r="H83" s="19">
        <v>4</v>
      </c>
      <c r="I83" s="25">
        <v>7.0599999999999996E-2</v>
      </c>
      <c r="J83" s="22" t="s">
        <v>17</v>
      </c>
      <c r="K83" s="23">
        <v>2834</v>
      </c>
      <c r="L83" s="6">
        <v>66</v>
      </c>
      <c r="M83" s="24">
        <v>143.88000000000002</v>
      </c>
      <c r="N83" s="25">
        <v>2.3199999999999998E-2</v>
      </c>
      <c r="O83" s="19">
        <v>7</v>
      </c>
      <c r="P83" s="25">
        <v>0.1133</v>
      </c>
    </row>
    <row r="84" spans="2:16" x14ac:dyDescent="0.2">
      <c r="B84" s="7">
        <v>42904</v>
      </c>
      <c r="C84" s="22" t="s">
        <v>14</v>
      </c>
      <c r="D84" s="23">
        <v>6648</v>
      </c>
      <c r="E84" s="6">
        <v>86</v>
      </c>
      <c r="F84" s="24">
        <v>153.08000000000001</v>
      </c>
      <c r="G84" s="25">
        <v>1.2999999999999999E-2</v>
      </c>
      <c r="H84" s="19">
        <v>6</v>
      </c>
      <c r="I84" s="25">
        <v>7.3899999999999993E-2</v>
      </c>
      <c r="J84" s="22" t="s">
        <v>17</v>
      </c>
      <c r="K84" s="23">
        <v>2907</v>
      </c>
      <c r="L84" s="6">
        <v>65</v>
      </c>
      <c r="M84" s="24">
        <v>157.29999999999998</v>
      </c>
      <c r="N84" s="25">
        <v>2.24E-2</v>
      </c>
      <c r="O84" s="19">
        <v>6</v>
      </c>
      <c r="P84" s="25">
        <v>9.1399999999999995E-2</v>
      </c>
    </row>
    <row r="85" spans="2:16" x14ac:dyDescent="0.2">
      <c r="B85" s="7">
        <v>42905</v>
      </c>
      <c r="C85" s="22" t="s">
        <v>14</v>
      </c>
      <c r="D85" s="23">
        <v>4011</v>
      </c>
      <c r="E85" s="6">
        <v>52</v>
      </c>
      <c r="F85" s="24">
        <v>79.040000000000006</v>
      </c>
      <c r="G85" s="25">
        <v>1.2999999999999999E-2</v>
      </c>
      <c r="H85" s="19">
        <v>4</v>
      </c>
      <c r="I85" s="25">
        <v>7.2099999999999997E-2</v>
      </c>
      <c r="J85" s="22" t="s">
        <v>17</v>
      </c>
      <c r="K85" s="23">
        <v>1306</v>
      </c>
      <c r="L85" s="6">
        <v>20</v>
      </c>
      <c r="M85" s="24">
        <v>30</v>
      </c>
      <c r="N85" s="25">
        <v>1.52E-2</v>
      </c>
      <c r="O85" s="19">
        <v>2</v>
      </c>
      <c r="P85" s="25">
        <v>9.3399999999999997E-2</v>
      </c>
    </row>
    <row r="86" spans="2:16" x14ac:dyDescent="0.2">
      <c r="B86" s="7">
        <v>42906</v>
      </c>
      <c r="C86" s="22" t="s">
        <v>14</v>
      </c>
      <c r="D86" s="23">
        <v>5332</v>
      </c>
      <c r="E86" s="6">
        <v>56</v>
      </c>
      <c r="F86" s="24">
        <v>92.96</v>
      </c>
      <c r="G86" s="25">
        <v>1.0500000000000001E-2</v>
      </c>
      <c r="H86" s="19">
        <v>4</v>
      </c>
      <c r="I86" s="25">
        <v>6.5299999999999997E-2</v>
      </c>
      <c r="J86" s="22" t="s">
        <v>17</v>
      </c>
      <c r="K86" s="23">
        <v>1679</v>
      </c>
      <c r="L86" s="6">
        <v>37</v>
      </c>
      <c r="M86" s="24">
        <v>81.03</v>
      </c>
      <c r="N86" s="25">
        <v>2.18E-2</v>
      </c>
      <c r="O86" s="19">
        <v>4</v>
      </c>
      <c r="P86" s="25">
        <v>9.7699999999999995E-2</v>
      </c>
    </row>
    <row r="87" spans="2:16" x14ac:dyDescent="0.2">
      <c r="B87" s="7">
        <v>42907</v>
      </c>
      <c r="C87" s="22" t="s">
        <v>14</v>
      </c>
      <c r="D87" s="23">
        <v>6737</v>
      </c>
      <c r="E87" s="6">
        <v>71</v>
      </c>
      <c r="F87" s="24">
        <v>97.27000000000001</v>
      </c>
      <c r="G87" s="25">
        <v>1.06E-2</v>
      </c>
      <c r="H87" s="19">
        <v>5</v>
      </c>
      <c r="I87" s="25">
        <v>6.6299999999999998E-2</v>
      </c>
      <c r="J87" s="22" t="s">
        <v>17</v>
      </c>
      <c r="K87" s="23">
        <v>1346</v>
      </c>
      <c r="L87" s="6">
        <v>26</v>
      </c>
      <c r="M87" s="24">
        <v>50.96</v>
      </c>
      <c r="N87" s="25">
        <v>1.95E-2</v>
      </c>
      <c r="O87" s="19">
        <v>3</v>
      </c>
      <c r="P87" s="25">
        <v>0.1067</v>
      </c>
    </row>
    <row r="88" spans="2:16" x14ac:dyDescent="0.2">
      <c r="B88" s="7">
        <v>42908</v>
      </c>
      <c r="C88" s="22" t="s">
        <v>14</v>
      </c>
      <c r="D88" s="23">
        <v>4553</v>
      </c>
      <c r="E88" s="6">
        <v>48</v>
      </c>
      <c r="F88" s="24">
        <v>72.48</v>
      </c>
      <c r="G88" s="25">
        <v>1.06E-2</v>
      </c>
      <c r="H88" s="19">
        <v>3</v>
      </c>
      <c r="I88" s="25">
        <v>6.2100000000000002E-2</v>
      </c>
      <c r="J88" s="22" t="s">
        <v>17</v>
      </c>
      <c r="K88" s="23">
        <v>1987</v>
      </c>
      <c r="L88" s="6">
        <v>34</v>
      </c>
      <c r="M88" s="24">
        <v>53.72</v>
      </c>
      <c r="N88" s="25">
        <v>1.7000000000000001E-2</v>
      </c>
      <c r="O88" s="19">
        <v>4</v>
      </c>
      <c r="P88" s="25">
        <v>0.104</v>
      </c>
    </row>
    <row r="89" spans="2:16" x14ac:dyDescent="0.2">
      <c r="B89" s="7">
        <v>42909</v>
      </c>
      <c r="C89" s="22" t="s">
        <v>14</v>
      </c>
      <c r="D89" s="23">
        <v>5439</v>
      </c>
      <c r="E89" s="6">
        <v>75</v>
      </c>
      <c r="F89" s="24">
        <v>116.25</v>
      </c>
      <c r="G89" s="25">
        <v>1.38E-2</v>
      </c>
      <c r="H89" s="19">
        <v>5</v>
      </c>
      <c r="I89" s="25">
        <v>6.3600000000000004E-2</v>
      </c>
      <c r="J89" s="22" t="s">
        <v>17</v>
      </c>
      <c r="K89" s="23">
        <v>2136</v>
      </c>
      <c r="L89" s="6">
        <v>32</v>
      </c>
      <c r="M89" s="24">
        <v>48</v>
      </c>
      <c r="N89" s="25">
        <v>1.4800000000000001E-2</v>
      </c>
      <c r="O89" s="19">
        <v>3</v>
      </c>
      <c r="P89" s="25">
        <v>0.1061</v>
      </c>
    </row>
    <row r="90" spans="2:16" x14ac:dyDescent="0.2">
      <c r="B90" s="7">
        <v>42910</v>
      </c>
      <c r="C90" s="22" t="s">
        <v>14</v>
      </c>
      <c r="D90" s="23">
        <v>6873</v>
      </c>
      <c r="E90" s="6">
        <v>82</v>
      </c>
      <c r="F90" s="24">
        <v>150.06</v>
      </c>
      <c r="G90" s="25">
        <v>1.2E-2</v>
      </c>
      <c r="H90" s="19">
        <v>6</v>
      </c>
      <c r="I90" s="25">
        <v>7.4999999999999997E-2</v>
      </c>
      <c r="J90" s="22" t="s">
        <v>17</v>
      </c>
      <c r="K90" s="23">
        <v>1347</v>
      </c>
      <c r="L90" s="6">
        <v>23</v>
      </c>
      <c r="M90" s="24">
        <v>35.880000000000003</v>
      </c>
      <c r="N90" s="25">
        <v>1.7399999999999999E-2</v>
      </c>
      <c r="O90" s="19">
        <v>3</v>
      </c>
      <c r="P90" s="25">
        <v>0.1142</v>
      </c>
    </row>
    <row r="91" spans="2:16" x14ac:dyDescent="0.2">
      <c r="B91" s="7">
        <v>42911</v>
      </c>
      <c r="C91" s="22" t="s">
        <v>14</v>
      </c>
      <c r="D91" s="23">
        <v>6631</v>
      </c>
      <c r="E91" s="6">
        <v>72</v>
      </c>
      <c r="F91" s="24">
        <v>95.76</v>
      </c>
      <c r="G91" s="25">
        <v>1.09E-2</v>
      </c>
      <c r="H91" s="19">
        <v>5</v>
      </c>
      <c r="I91" s="25">
        <v>7.4899999999999994E-2</v>
      </c>
      <c r="J91" s="22" t="s">
        <v>17</v>
      </c>
      <c r="K91" s="23">
        <v>1089</v>
      </c>
      <c r="L91" s="6">
        <v>26</v>
      </c>
      <c r="M91" s="24">
        <v>48.1</v>
      </c>
      <c r="N91" s="25">
        <v>2.4E-2</v>
      </c>
      <c r="O91" s="19">
        <v>3</v>
      </c>
      <c r="P91" s="25">
        <v>0.1065</v>
      </c>
    </row>
    <row r="92" spans="2:16" x14ac:dyDescent="0.2">
      <c r="B92" s="7">
        <v>42912</v>
      </c>
      <c r="C92" s="22" t="s">
        <v>14</v>
      </c>
      <c r="D92" s="23">
        <v>4489</v>
      </c>
      <c r="E92" s="6">
        <v>58</v>
      </c>
      <c r="F92" s="24">
        <v>125.86</v>
      </c>
      <c r="G92" s="25">
        <v>1.29E-2</v>
      </c>
      <c r="H92" s="19">
        <v>4</v>
      </c>
      <c r="I92" s="25">
        <v>7.3300000000000004E-2</v>
      </c>
      <c r="J92" s="22" t="s">
        <v>17</v>
      </c>
      <c r="K92" s="23">
        <v>2451</v>
      </c>
      <c r="L92" s="6">
        <v>43</v>
      </c>
      <c r="M92" s="24">
        <v>101.47999999999999</v>
      </c>
      <c r="N92" s="25">
        <v>1.7399999999999999E-2</v>
      </c>
      <c r="O92" s="19">
        <v>5</v>
      </c>
      <c r="P92" s="25">
        <v>0.1197</v>
      </c>
    </row>
    <row r="93" spans="2:16" x14ac:dyDescent="0.2">
      <c r="B93" s="7">
        <v>42913</v>
      </c>
      <c r="C93" s="22" t="s">
        <v>14</v>
      </c>
      <c r="D93" s="23">
        <v>6463</v>
      </c>
      <c r="E93" s="6">
        <v>82</v>
      </c>
      <c r="F93" s="24">
        <v>146.78</v>
      </c>
      <c r="G93" s="25">
        <v>1.2699999999999999E-2</v>
      </c>
      <c r="H93" s="19">
        <v>5</v>
      </c>
      <c r="I93" s="25">
        <v>6.4699999999999994E-2</v>
      </c>
      <c r="J93" s="22" t="s">
        <v>17</v>
      </c>
      <c r="K93" s="23">
        <v>2541</v>
      </c>
      <c r="L93" s="6">
        <v>52</v>
      </c>
      <c r="M93" s="24">
        <v>122.72</v>
      </c>
      <c r="N93" s="25">
        <v>2.0400000000000001E-2</v>
      </c>
      <c r="O93" s="19">
        <v>5</v>
      </c>
      <c r="P93" s="25">
        <v>9.3100000000000002E-2</v>
      </c>
    </row>
    <row r="94" spans="2:16" x14ac:dyDescent="0.2">
      <c r="B94" s="7">
        <v>42914</v>
      </c>
      <c r="C94" s="22" t="s">
        <v>14</v>
      </c>
      <c r="D94" s="23">
        <v>5522</v>
      </c>
      <c r="E94" s="6">
        <v>82</v>
      </c>
      <c r="F94" s="24">
        <v>177.94</v>
      </c>
      <c r="G94" s="25">
        <v>1.4800000000000001E-2</v>
      </c>
      <c r="H94" s="19">
        <v>6</v>
      </c>
      <c r="I94" s="25">
        <v>6.9699999999999998E-2</v>
      </c>
      <c r="J94" s="22" t="s">
        <v>17</v>
      </c>
      <c r="K94" s="23">
        <v>1424</v>
      </c>
      <c r="L94" s="6">
        <v>33</v>
      </c>
      <c r="M94" s="24">
        <v>74.25</v>
      </c>
      <c r="N94" s="25">
        <v>2.3400000000000001E-2</v>
      </c>
      <c r="O94" s="19">
        <v>4</v>
      </c>
      <c r="P94" s="25">
        <v>0.11799999999999999</v>
      </c>
    </row>
    <row r="95" spans="2:16" x14ac:dyDescent="0.2">
      <c r="B95" s="7">
        <v>42915</v>
      </c>
      <c r="C95" s="22" t="s">
        <v>14</v>
      </c>
      <c r="D95" s="23">
        <v>6658</v>
      </c>
      <c r="E95" s="6">
        <v>78</v>
      </c>
      <c r="F95" s="24">
        <v>131.82</v>
      </c>
      <c r="G95" s="25">
        <v>1.17E-2</v>
      </c>
      <c r="H95" s="19">
        <v>5</v>
      </c>
      <c r="I95" s="25">
        <v>6.5199999999999994E-2</v>
      </c>
      <c r="J95" s="22" t="s">
        <v>17</v>
      </c>
      <c r="K95" s="23">
        <v>1295</v>
      </c>
      <c r="L95" s="6">
        <v>29</v>
      </c>
      <c r="M95" s="24">
        <v>65.83</v>
      </c>
      <c r="N95" s="25">
        <v>2.2599999999999999E-2</v>
      </c>
      <c r="O95" s="19">
        <v>3</v>
      </c>
      <c r="P95" s="25">
        <v>0.1055</v>
      </c>
    </row>
    <row r="96" spans="2:16" x14ac:dyDescent="0.2">
      <c r="B96" s="7">
        <v>42916</v>
      </c>
      <c r="C96" s="22" t="s">
        <v>14</v>
      </c>
      <c r="D96" s="23">
        <v>4348</v>
      </c>
      <c r="E96" s="6">
        <v>34</v>
      </c>
      <c r="F96" s="24">
        <v>41.14</v>
      </c>
      <c r="G96" s="25">
        <v>7.9000000000000008E-3</v>
      </c>
      <c r="H96" s="19">
        <v>2</v>
      </c>
      <c r="I96" s="25">
        <v>6.6799999999999998E-2</v>
      </c>
      <c r="J96" s="22" t="s">
        <v>17</v>
      </c>
      <c r="K96" s="23">
        <v>1515</v>
      </c>
      <c r="L96" s="6">
        <v>32</v>
      </c>
      <c r="M96" s="24">
        <v>65.28</v>
      </c>
      <c r="N96" s="25">
        <v>2.1399999999999999E-2</v>
      </c>
      <c r="O96" s="19">
        <v>4</v>
      </c>
      <c r="P96" s="25">
        <v>0.1202</v>
      </c>
    </row>
  </sheetData>
  <autoFilter ref="B5:O5" xr:uid="{00000000-0009-0000-0000-000001000000}">
    <sortState xmlns:xlrd2="http://schemas.microsoft.com/office/spreadsheetml/2017/richdata2" ref="B6:P96">
      <sortCondition ref="B5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B1:L48"/>
  <sheetViews>
    <sheetView showGridLines="0" workbookViewId="0"/>
  </sheetViews>
  <sheetFormatPr baseColWidth="10" defaultColWidth="8.83203125" defaultRowHeight="15" x14ac:dyDescent="0.2"/>
  <cols>
    <col min="1" max="1" width="1.6640625" customWidth="1"/>
    <col min="2" max="2" width="2.6640625" customWidth="1"/>
    <col min="3" max="3" width="13.6640625" customWidth="1"/>
    <col min="4" max="7" width="11.6640625" customWidth="1"/>
    <col min="8" max="8" width="2.6640625" customWidth="1"/>
    <col min="9" max="13" width="11.6640625" customWidth="1"/>
  </cols>
  <sheetData>
    <row r="1" spans="2:11" ht="7" customHeight="1" x14ac:dyDescent="0.2"/>
    <row r="2" spans="2:11" ht="19" x14ac:dyDescent="0.25">
      <c r="B2" s="16" t="s">
        <v>4</v>
      </c>
      <c r="H2" s="16"/>
    </row>
    <row r="3" spans="2:11" s="150" customFormat="1" ht="16" x14ac:dyDescent="0.2">
      <c r="B3" s="144" t="s">
        <v>899</v>
      </c>
      <c r="C3" s="149"/>
      <c r="H3" s="143"/>
    </row>
    <row r="5" spans="2:11" ht="16" x14ac:dyDescent="0.2">
      <c r="B5" s="17" t="s">
        <v>1</v>
      </c>
    </row>
    <row r="6" spans="2:11" ht="16" x14ac:dyDescent="0.2">
      <c r="B6" s="17"/>
      <c r="D6" s="67"/>
      <c r="E6" s="67"/>
      <c r="F6" s="67"/>
    </row>
    <row r="7" spans="2:11" ht="16" x14ac:dyDescent="0.2">
      <c r="B7" s="17"/>
      <c r="C7" s="111" t="s">
        <v>903</v>
      </c>
      <c r="I7" s="119"/>
    </row>
    <row r="8" spans="2:11" ht="16" x14ac:dyDescent="0.2">
      <c r="B8" s="17"/>
      <c r="C8" s="111" t="s">
        <v>904</v>
      </c>
      <c r="I8" s="119"/>
    </row>
    <row r="9" spans="2:11" ht="16" x14ac:dyDescent="0.2">
      <c r="B9" s="17"/>
      <c r="C9" s="111" t="s">
        <v>905</v>
      </c>
      <c r="I9" s="119"/>
    </row>
    <row r="10" spans="2:11" ht="16" x14ac:dyDescent="0.2">
      <c r="B10" s="17"/>
      <c r="C10" s="111" t="s">
        <v>908</v>
      </c>
      <c r="I10" s="145"/>
      <c r="J10" s="147"/>
      <c r="K10" s="146"/>
    </row>
    <row r="11" spans="2:11" ht="16" x14ac:dyDescent="0.2">
      <c r="B11" s="17"/>
      <c r="C11" s="111" t="s">
        <v>906</v>
      </c>
      <c r="I11" s="119"/>
    </row>
    <row r="12" spans="2:11" ht="16" x14ac:dyDescent="0.2">
      <c r="B12" s="17"/>
      <c r="C12" s="111" t="s">
        <v>900</v>
      </c>
      <c r="I12" s="119"/>
    </row>
    <row r="13" spans="2:11" ht="16" x14ac:dyDescent="0.2">
      <c r="B13" s="17"/>
      <c r="D13" s="67"/>
      <c r="E13" s="67"/>
      <c r="F13" s="67"/>
    </row>
    <row r="14" spans="2:11" x14ac:dyDescent="0.2">
      <c r="D14" s="48" t="s">
        <v>2</v>
      </c>
      <c r="E14" s="48" t="s">
        <v>20</v>
      </c>
      <c r="F14" s="48" t="s">
        <v>31</v>
      </c>
    </row>
    <row r="15" spans="2:11" x14ac:dyDescent="0.2">
      <c r="C15" t="s">
        <v>30</v>
      </c>
      <c r="D15" s="3">
        <f>E15+F15</f>
        <v>0</v>
      </c>
      <c r="E15" s="3"/>
      <c r="F15" s="3"/>
    </row>
    <row r="16" spans="2:11" x14ac:dyDescent="0.2">
      <c r="C16" t="s">
        <v>32</v>
      </c>
      <c r="D16" s="21">
        <f>E16+F16</f>
        <v>0</v>
      </c>
      <c r="E16" s="21"/>
      <c r="F16" s="21"/>
    </row>
    <row r="17" spans="2:12" x14ac:dyDescent="0.2">
      <c r="C17" t="s">
        <v>25</v>
      </c>
      <c r="D17" s="21">
        <f>E17+F17</f>
        <v>0</v>
      </c>
      <c r="E17" s="21"/>
      <c r="F17" s="21"/>
    </row>
    <row r="18" spans="2:12" x14ac:dyDescent="0.2">
      <c r="C18" t="s">
        <v>27</v>
      </c>
      <c r="D18" s="49">
        <f>E18+F18</f>
        <v>0</v>
      </c>
      <c r="E18" s="54"/>
      <c r="F18" s="54"/>
    </row>
    <row r="19" spans="2:12" x14ac:dyDescent="0.2">
      <c r="C19" s="50" t="s">
        <v>33</v>
      </c>
      <c r="D19" s="51"/>
      <c r="E19" s="51"/>
      <c r="F19" s="51"/>
    </row>
    <row r="20" spans="2:12" x14ac:dyDescent="0.2">
      <c r="C20" s="50" t="s">
        <v>34</v>
      </c>
      <c r="D20" s="52"/>
      <c r="E20" s="52"/>
      <c r="F20" s="52"/>
    </row>
    <row r="21" spans="2:12" x14ac:dyDescent="0.2">
      <c r="C21" s="50" t="s">
        <v>26</v>
      </c>
      <c r="D21" s="53"/>
      <c r="E21" s="53"/>
      <c r="F21" s="53"/>
    </row>
    <row r="24" spans="2:12" ht="16" x14ac:dyDescent="0.2">
      <c r="B24" s="17" t="s">
        <v>35</v>
      </c>
      <c r="H24" s="17" t="s">
        <v>36</v>
      </c>
    </row>
    <row r="25" spans="2:12" ht="16" x14ac:dyDescent="0.2">
      <c r="B25" s="17"/>
      <c r="H25" s="17"/>
    </row>
    <row r="26" spans="2:12" x14ac:dyDescent="0.2">
      <c r="D26" s="27" t="s">
        <v>33</v>
      </c>
      <c r="E26" s="27" t="s">
        <v>34</v>
      </c>
      <c r="F26" s="27" t="s">
        <v>23</v>
      </c>
      <c r="J26" s="27" t="s">
        <v>33</v>
      </c>
      <c r="K26" s="27" t="s">
        <v>34</v>
      </c>
      <c r="L26" s="27" t="s">
        <v>23</v>
      </c>
    </row>
    <row r="27" spans="2:12" x14ac:dyDescent="0.2">
      <c r="C27" s="6" t="s">
        <v>12</v>
      </c>
      <c r="D27" s="25"/>
      <c r="E27" s="28"/>
      <c r="F27" s="25"/>
      <c r="I27" s="6" t="s">
        <v>15</v>
      </c>
      <c r="J27" s="25"/>
      <c r="K27" s="28"/>
      <c r="L27" s="25"/>
    </row>
    <row r="28" spans="2:12" x14ac:dyDescent="0.2">
      <c r="C28" s="6" t="s">
        <v>14</v>
      </c>
      <c r="D28" s="25"/>
      <c r="E28" s="28"/>
      <c r="F28" s="25"/>
      <c r="I28" s="6" t="s">
        <v>17</v>
      </c>
      <c r="J28" s="25"/>
      <c r="K28" s="28"/>
      <c r="L28" s="25"/>
    </row>
    <row r="29" spans="2:12" x14ac:dyDescent="0.2">
      <c r="C29" s="6" t="s">
        <v>13</v>
      </c>
      <c r="D29" s="25"/>
      <c r="E29" s="28"/>
      <c r="F29" s="25"/>
      <c r="I29" s="6" t="s">
        <v>16</v>
      </c>
      <c r="J29" s="25"/>
      <c r="K29" s="28"/>
      <c r="L29" s="25"/>
    </row>
    <row r="30" spans="2:12" x14ac:dyDescent="0.2">
      <c r="C30" s="20" t="s">
        <v>0</v>
      </c>
      <c r="D30" s="26">
        <f>E19</f>
        <v>0</v>
      </c>
      <c r="E30" s="29">
        <f>E20</f>
        <v>0</v>
      </c>
      <c r="F30" s="26">
        <f>E21</f>
        <v>0</v>
      </c>
      <c r="I30" s="20" t="s">
        <v>0</v>
      </c>
      <c r="J30" s="26">
        <f>F19</f>
        <v>0</v>
      </c>
      <c r="K30" s="29">
        <f>F20</f>
        <v>0</v>
      </c>
      <c r="L30" s="26">
        <f>F21</f>
        <v>0</v>
      </c>
    </row>
    <row r="32" spans="2:12" x14ac:dyDescent="0.2">
      <c r="C32" s="111" t="s">
        <v>902</v>
      </c>
      <c r="I32" s="119"/>
      <c r="K32" s="39"/>
    </row>
    <row r="33" spans="2:9" x14ac:dyDescent="0.2">
      <c r="C33" s="111" t="s">
        <v>901</v>
      </c>
      <c r="I33" s="119"/>
    </row>
    <row r="36" spans="2:9" ht="16" x14ac:dyDescent="0.2">
      <c r="B36" s="17" t="s">
        <v>37</v>
      </c>
    </row>
    <row r="37" spans="2:9" ht="16" x14ac:dyDescent="0.2">
      <c r="B37" s="17"/>
    </row>
    <row r="38" spans="2:9" ht="16" x14ac:dyDescent="0.2">
      <c r="B38" s="17"/>
      <c r="C38" s="111" t="s">
        <v>907</v>
      </c>
      <c r="I38" s="119"/>
    </row>
    <row r="39" spans="2:9" ht="16" x14ac:dyDescent="0.2">
      <c r="B39" s="17"/>
      <c r="C39" s="111" t="s">
        <v>906</v>
      </c>
      <c r="I39" s="119"/>
    </row>
    <row r="40" spans="2:9" ht="16" x14ac:dyDescent="0.2">
      <c r="B40" s="17"/>
      <c r="C40" s="111" t="s">
        <v>900</v>
      </c>
      <c r="I40" s="119"/>
    </row>
    <row r="41" spans="2:9" ht="16" x14ac:dyDescent="0.2">
      <c r="B41" s="17"/>
    </row>
    <row r="42" spans="2:9" x14ac:dyDescent="0.2">
      <c r="D42" s="18" t="s">
        <v>2</v>
      </c>
      <c r="E42" s="18" t="s">
        <v>20</v>
      </c>
      <c r="F42" s="18" t="s">
        <v>31</v>
      </c>
    </row>
    <row r="43" spans="2:9" x14ac:dyDescent="0.2">
      <c r="C43" t="s">
        <v>21</v>
      </c>
      <c r="D43" s="33"/>
      <c r="E43" s="33"/>
      <c r="F43" s="33"/>
    </row>
    <row r="44" spans="2:9" x14ac:dyDescent="0.2">
      <c r="C44" t="s">
        <v>22</v>
      </c>
      <c r="D44" s="31">
        <f>D20</f>
        <v>0</v>
      </c>
      <c r="E44" s="31">
        <f>E20</f>
        <v>0</v>
      </c>
      <c r="F44" s="31">
        <f>F20</f>
        <v>0</v>
      </c>
    </row>
    <row r="45" spans="2:9" x14ac:dyDescent="0.2">
      <c r="C45" s="5" t="s">
        <v>25</v>
      </c>
      <c r="D45" s="37"/>
      <c r="E45" s="37"/>
      <c r="F45" s="37"/>
    </row>
    <row r="46" spans="2:9" x14ac:dyDescent="0.2">
      <c r="C46" t="s">
        <v>26</v>
      </c>
      <c r="D46" s="32">
        <f>D21</f>
        <v>0</v>
      </c>
      <c r="E46" s="32">
        <f>E21</f>
        <v>0</v>
      </c>
      <c r="F46" s="32">
        <f>F21</f>
        <v>0</v>
      </c>
    </row>
    <row r="47" spans="2:9" x14ac:dyDescent="0.2">
      <c r="C47" s="5" t="s">
        <v>27</v>
      </c>
      <c r="D47" s="38"/>
      <c r="E47" s="38"/>
      <c r="F47" s="38"/>
    </row>
    <row r="48" spans="2:9" x14ac:dyDescent="0.2">
      <c r="C48" s="10" t="s">
        <v>24</v>
      </c>
      <c r="D48" s="30"/>
      <c r="E48" s="30"/>
      <c r="F48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/>
  <dimension ref="B1:L781"/>
  <sheetViews>
    <sheetView showGridLines="0" workbookViewId="0"/>
  </sheetViews>
  <sheetFormatPr baseColWidth="10" defaultColWidth="8.83203125" defaultRowHeight="15" x14ac:dyDescent="0.2"/>
  <cols>
    <col min="1" max="1" width="1.6640625" customWidth="1"/>
    <col min="2" max="2" width="20.6640625" customWidth="1"/>
    <col min="3" max="3" width="10.6640625" customWidth="1"/>
    <col min="4" max="4" width="11.6640625" customWidth="1"/>
    <col min="5" max="12" width="12.6640625" customWidth="1"/>
    <col min="13" max="17" width="11.6640625" customWidth="1"/>
  </cols>
  <sheetData>
    <row r="1" spans="2:12" ht="7" customHeight="1" x14ac:dyDescent="0.2"/>
    <row r="2" spans="2:12" ht="19" x14ac:dyDescent="0.25">
      <c r="B2" s="16" t="s">
        <v>914</v>
      </c>
      <c r="C2" s="16"/>
      <c r="F2" s="57"/>
      <c r="H2" s="11"/>
      <c r="I2" s="11"/>
      <c r="J2" s="11"/>
    </row>
    <row r="3" spans="2:12" ht="16" x14ac:dyDescent="0.2">
      <c r="B3" s="149" t="s">
        <v>915</v>
      </c>
      <c r="C3" s="14"/>
      <c r="F3" s="57"/>
      <c r="G3" s="11"/>
    </row>
    <row r="4" spans="2:12" ht="16" x14ac:dyDescent="0.2">
      <c r="B4" s="4"/>
      <c r="C4" s="4"/>
      <c r="F4" s="11"/>
      <c r="K4" s="35"/>
    </row>
    <row r="5" spans="2:12" ht="32" x14ac:dyDescent="0.2">
      <c r="B5" s="34" t="s">
        <v>28</v>
      </c>
      <c r="C5" s="34" t="s">
        <v>788</v>
      </c>
      <c r="D5" s="13" t="s">
        <v>782</v>
      </c>
      <c r="E5" s="13" t="s">
        <v>779</v>
      </c>
      <c r="F5" s="13" t="s">
        <v>783</v>
      </c>
      <c r="G5" s="13" t="s">
        <v>786</v>
      </c>
      <c r="H5" s="13" t="s">
        <v>784</v>
      </c>
      <c r="I5" s="13" t="s">
        <v>787</v>
      </c>
      <c r="J5" s="13" t="s">
        <v>785</v>
      </c>
      <c r="K5" s="13" t="s">
        <v>780</v>
      </c>
      <c r="L5" s="13" t="s">
        <v>781</v>
      </c>
    </row>
    <row r="6" spans="2:12" x14ac:dyDescent="0.2">
      <c r="B6" s="6" t="s">
        <v>186</v>
      </c>
      <c r="C6" s="9" t="s">
        <v>31</v>
      </c>
      <c r="D6" s="22">
        <v>42862</v>
      </c>
      <c r="E6" s="9">
        <v>1</v>
      </c>
      <c r="F6" s="9">
        <v>1</v>
      </c>
      <c r="G6" s="9">
        <v>0</v>
      </c>
      <c r="H6" s="9">
        <v>0</v>
      </c>
      <c r="I6" s="9">
        <v>0</v>
      </c>
      <c r="J6" s="9">
        <v>0</v>
      </c>
      <c r="K6" s="56">
        <v>42885</v>
      </c>
      <c r="L6" s="24">
        <v>425</v>
      </c>
    </row>
    <row r="7" spans="2:12" x14ac:dyDescent="0.2">
      <c r="B7" s="6" t="s">
        <v>207</v>
      </c>
      <c r="C7" s="9" t="s">
        <v>31</v>
      </c>
      <c r="D7" s="22">
        <v>42859</v>
      </c>
      <c r="E7" s="9">
        <v>1</v>
      </c>
      <c r="F7" s="9">
        <v>1</v>
      </c>
      <c r="G7" s="9">
        <v>0</v>
      </c>
      <c r="H7" s="9">
        <v>0</v>
      </c>
      <c r="I7" s="9">
        <v>0</v>
      </c>
      <c r="J7" s="9">
        <v>0</v>
      </c>
      <c r="K7" s="56">
        <v>42866</v>
      </c>
      <c r="L7" s="24">
        <v>424</v>
      </c>
    </row>
    <row r="8" spans="2:12" x14ac:dyDescent="0.2">
      <c r="B8" s="6" t="s">
        <v>328</v>
      </c>
      <c r="C8" s="9" t="s">
        <v>31</v>
      </c>
      <c r="D8" s="22">
        <v>42896</v>
      </c>
      <c r="E8" s="9">
        <v>1</v>
      </c>
      <c r="F8" s="9">
        <v>1</v>
      </c>
      <c r="G8" s="9">
        <v>0</v>
      </c>
      <c r="H8" s="9">
        <v>0</v>
      </c>
      <c r="I8" s="9">
        <v>0</v>
      </c>
      <c r="J8" s="9">
        <v>0</v>
      </c>
      <c r="K8" s="56">
        <v>42919</v>
      </c>
      <c r="L8" s="24">
        <v>423</v>
      </c>
    </row>
    <row r="9" spans="2:12" x14ac:dyDescent="0.2">
      <c r="B9" s="6" t="s">
        <v>628</v>
      </c>
      <c r="C9" s="9" t="s">
        <v>20</v>
      </c>
      <c r="D9" s="22">
        <v>42901</v>
      </c>
      <c r="E9" s="9">
        <v>1</v>
      </c>
      <c r="F9" s="9">
        <v>1</v>
      </c>
      <c r="G9" s="9">
        <v>0</v>
      </c>
      <c r="H9" s="9">
        <v>0</v>
      </c>
      <c r="I9" s="9">
        <v>0</v>
      </c>
      <c r="J9" s="9">
        <v>0</v>
      </c>
      <c r="K9" s="56">
        <v>42904</v>
      </c>
      <c r="L9" s="24">
        <v>422</v>
      </c>
    </row>
    <row r="10" spans="2:12" x14ac:dyDescent="0.2">
      <c r="B10" s="6" t="s">
        <v>629</v>
      </c>
      <c r="C10" s="9" t="s">
        <v>31</v>
      </c>
      <c r="D10" s="22">
        <v>42875</v>
      </c>
      <c r="E10" s="9">
        <v>1</v>
      </c>
      <c r="F10" s="9">
        <v>1</v>
      </c>
      <c r="G10" s="9">
        <v>0</v>
      </c>
      <c r="H10" s="9">
        <v>0</v>
      </c>
      <c r="I10" s="9">
        <v>0</v>
      </c>
      <c r="J10" s="9">
        <v>0</v>
      </c>
      <c r="K10" s="56">
        <v>42893</v>
      </c>
      <c r="L10" s="24">
        <v>421</v>
      </c>
    </row>
    <row r="11" spans="2:12" x14ac:dyDescent="0.2">
      <c r="B11" s="6" t="s">
        <v>39</v>
      </c>
      <c r="C11" s="9" t="s">
        <v>20</v>
      </c>
      <c r="D11" s="22">
        <v>42842</v>
      </c>
      <c r="E11" s="9">
        <v>1</v>
      </c>
      <c r="F11" s="9">
        <v>1</v>
      </c>
      <c r="G11" s="9">
        <v>0</v>
      </c>
      <c r="H11" s="9">
        <v>0</v>
      </c>
      <c r="I11" s="9">
        <v>0</v>
      </c>
      <c r="J11" s="9">
        <v>0</v>
      </c>
      <c r="K11" s="56">
        <v>42866</v>
      </c>
      <c r="L11" s="24">
        <v>420</v>
      </c>
    </row>
    <row r="12" spans="2:12" x14ac:dyDescent="0.2">
      <c r="B12" s="6" t="s">
        <v>440</v>
      </c>
      <c r="C12" s="9" t="s">
        <v>31</v>
      </c>
      <c r="D12" s="22">
        <v>42891</v>
      </c>
      <c r="E12" s="9">
        <v>1</v>
      </c>
      <c r="F12" s="9">
        <v>1</v>
      </c>
      <c r="G12" s="9">
        <v>0</v>
      </c>
      <c r="H12" s="9">
        <v>0</v>
      </c>
      <c r="I12" s="9">
        <v>0</v>
      </c>
      <c r="J12" s="9">
        <v>0</v>
      </c>
      <c r="K12" s="56">
        <v>42913</v>
      </c>
      <c r="L12" s="24">
        <v>418</v>
      </c>
    </row>
    <row r="13" spans="2:12" x14ac:dyDescent="0.2">
      <c r="B13" s="6" t="s">
        <v>490</v>
      </c>
      <c r="C13" s="9" t="s">
        <v>20</v>
      </c>
      <c r="D13" s="22">
        <v>42854</v>
      </c>
      <c r="E13" s="9">
        <v>1</v>
      </c>
      <c r="F13" s="9">
        <v>1</v>
      </c>
      <c r="G13" s="9">
        <v>0</v>
      </c>
      <c r="H13" s="9">
        <v>0</v>
      </c>
      <c r="I13" s="9">
        <v>0</v>
      </c>
      <c r="J13" s="9">
        <v>0</v>
      </c>
      <c r="K13" s="56">
        <v>42878</v>
      </c>
      <c r="L13" s="24">
        <v>418</v>
      </c>
    </row>
    <row r="14" spans="2:12" x14ac:dyDescent="0.2">
      <c r="B14" s="6" t="s">
        <v>641</v>
      </c>
      <c r="C14" s="9" t="s">
        <v>31</v>
      </c>
      <c r="D14" s="22">
        <v>42895</v>
      </c>
      <c r="E14" s="9">
        <v>1</v>
      </c>
      <c r="F14" s="9">
        <v>1</v>
      </c>
      <c r="G14" s="9">
        <v>0</v>
      </c>
      <c r="H14" s="9">
        <v>0</v>
      </c>
      <c r="I14" s="9">
        <v>0</v>
      </c>
      <c r="J14" s="9">
        <v>0</v>
      </c>
      <c r="K14" s="56">
        <v>42918</v>
      </c>
      <c r="L14" s="24">
        <v>417</v>
      </c>
    </row>
    <row r="15" spans="2:12" x14ac:dyDescent="0.2">
      <c r="B15" s="6" t="s">
        <v>128</v>
      </c>
      <c r="C15" s="9" t="s">
        <v>31</v>
      </c>
      <c r="D15" s="22">
        <v>42880</v>
      </c>
      <c r="E15" s="9">
        <v>1</v>
      </c>
      <c r="F15" s="9">
        <v>1</v>
      </c>
      <c r="G15" s="9">
        <v>0</v>
      </c>
      <c r="H15" s="9">
        <v>0</v>
      </c>
      <c r="I15" s="9">
        <v>0</v>
      </c>
      <c r="J15" s="9">
        <v>0</v>
      </c>
      <c r="K15" s="56">
        <v>42886</v>
      </c>
      <c r="L15" s="24">
        <v>417</v>
      </c>
    </row>
    <row r="16" spans="2:12" x14ac:dyDescent="0.2">
      <c r="B16" s="6" t="s">
        <v>302</v>
      </c>
      <c r="C16" s="9" t="s">
        <v>20</v>
      </c>
      <c r="D16" s="22">
        <v>42887</v>
      </c>
      <c r="E16" s="9">
        <v>1</v>
      </c>
      <c r="F16" s="9">
        <v>1</v>
      </c>
      <c r="G16" s="9">
        <v>0</v>
      </c>
      <c r="H16" s="9">
        <v>0</v>
      </c>
      <c r="I16" s="9">
        <v>0</v>
      </c>
      <c r="J16" s="9">
        <v>0</v>
      </c>
      <c r="K16" s="56">
        <v>42907</v>
      </c>
      <c r="L16" s="24">
        <v>416</v>
      </c>
    </row>
    <row r="17" spans="2:12" x14ac:dyDescent="0.2">
      <c r="B17" s="6" t="s">
        <v>964</v>
      </c>
      <c r="C17" s="9" t="s">
        <v>31</v>
      </c>
      <c r="D17" s="22">
        <v>42890</v>
      </c>
      <c r="E17" s="9">
        <v>1</v>
      </c>
      <c r="F17" s="9">
        <v>1</v>
      </c>
      <c r="G17" s="9">
        <v>0</v>
      </c>
      <c r="H17" s="9">
        <v>0</v>
      </c>
      <c r="I17" s="9">
        <v>0</v>
      </c>
      <c r="J17" s="9">
        <v>0</v>
      </c>
      <c r="K17" s="56">
        <v>42896</v>
      </c>
      <c r="L17" s="24">
        <v>416</v>
      </c>
    </row>
    <row r="18" spans="2:12" x14ac:dyDescent="0.2">
      <c r="B18" s="6" t="s">
        <v>266</v>
      </c>
      <c r="C18" s="9" t="s">
        <v>31</v>
      </c>
      <c r="D18" s="22">
        <v>42911</v>
      </c>
      <c r="E18" s="9">
        <v>1</v>
      </c>
      <c r="F18" s="9">
        <v>1</v>
      </c>
      <c r="G18" s="9">
        <v>0</v>
      </c>
      <c r="H18" s="9">
        <v>0</v>
      </c>
      <c r="I18" s="9">
        <v>0</v>
      </c>
      <c r="J18" s="9">
        <v>0</v>
      </c>
      <c r="K18" s="56">
        <v>42934</v>
      </c>
      <c r="L18" s="24">
        <v>416</v>
      </c>
    </row>
    <row r="19" spans="2:12" x14ac:dyDescent="0.2">
      <c r="B19" s="6" t="s">
        <v>517</v>
      </c>
      <c r="C19" s="9" t="s">
        <v>31</v>
      </c>
      <c r="D19" s="22">
        <v>42826</v>
      </c>
      <c r="E19" s="9">
        <v>1</v>
      </c>
      <c r="F19" s="9">
        <v>1</v>
      </c>
      <c r="G19" s="9">
        <v>0</v>
      </c>
      <c r="H19" s="9">
        <v>0</v>
      </c>
      <c r="I19" s="9">
        <v>0</v>
      </c>
      <c r="J19" s="9">
        <v>0</v>
      </c>
      <c r="K19" s="56">
        <v>42827</v>
      </c>
      <c r="L19" s="24">
        <v>414</v>
      </c>
    </row>
    <row r="20" spans="2:12" x14ac:dyDescent="0.2">
      <c r="B20" s="6" t="s">
        <v>586</v>
      </c>
      <c r="C20" s="9" t="s">
        <v>31</v>
      </c>
      <c r="D20" s="22">
        <v>42899</v>
      </c>
      <c r="E20" s="9">
        <v>1</v>
      </c>
      <c r="F20" s="9">
        <v>1</v>
      </c>
      <c r="G20" s="9">
        <v>0</v>
      </c>
      <c r="H20" s="9">
        <v>0</v>
      </c>
      <c r="I20" s="9">
        <v>0</v>
      </c>
      <c r="J20" s="9">
        <v>0</v>
      </c>
      <c r="K20" s="56">
        <v>42920</v>
      </c>
      <c r="L20" s="24">
        <v>413</v>
      </c>
    </row>
    <row r="21" spans="2:12" x14ac:dyDescent="0.2">
      <c r="B21" s="6" t="s">
        <v>577</v>
      </c>
      <c r="C21" s="9" t="s">
        <v>31</v>
      </c>
      <c r="D21" s="22">
        <v>42866</v>
      </c>
      <c r="E21" s="9">
        <v>1</v>
      </c>
      <c r="F21" s="9">
        <v>1</v>
      </c>
      <c r="G21" s="9">
        <v>0</v>
      </c>
      <c r="H21" s="9">
        <v>0</v>
      </c>
      <c r="I21" s="9">
        <v>0</v>
      </c>
      <c r="J21" s="9">
        <v>0</v>
      </c>
      <c r="K21" s="56">
        <v>42878</v>
      </c>
      <c r="L21" s="24">
        <v>411</v>
      </c>
    </row>
    <row r="22" spans="2:12" x14ac:dyDescent="0.2">
      <c r="B22" s="6" t="s">
        <v>46</v>
      </c>
      <c r="C22" s="9" t="s">
        <v>31</v>
      </c>
      <c r="D22" s="22">
        <v>42870</v>
      </c>
      <c r="E22" s="9">
        <v>1</v>
      </c>
      <c r="F22" s="9">
        <v>1</v>
      </c>
      <c r="G22" s="9">
        <v>0</v>
      </c>
      <c r="H22" s="9">
        <v>0</v>
      </c>
      <c r="I22" s="9">
        <v>0</v>
      </c>
      <c r="J22" s="9">
        <v>0</v>
      </c>
      <c r="K22" s="56">
        <v>42894</v>
      </c>
      <c r="L22" s="24">
        <v>410</v>
      </c>
    </row>
    <row r="23" spans="2:12" x14ac:dyDescent="0.2">
      <c r="B23" s="6" t="s">
        <v>212</v>
      </c>
      <c r="C23" s="9" t="s">
        <v>31</v>
      </c>
      <c r="D23" s="22">
        <v>42865</v>
      </c>
      <c r="E23" s="9">
        <v>1</v>
      </c>
      <c r="F23" s="9">
        <v>1</v>
      </c>
      <c r="G23" s="9">
        <v>0</v>
      </c>
      <c r="H23" s="9">
        <v>0</v>
      </c>
      <c r="I23" s="9">
        <v>0</v>
      </c>
      <c r="J23" s="9">
        <v>0</v>
      </c>
      <c r="K23" s="56">
        <v>42881</v>
      </c>
      <c r="L23" s="24">
        <v>410</v>
      </c>
    </row>
    <row r="24" spans="2:12" x14ac:dyDescent="0.2">
      <c r="B24" s="6" t="s">
        <v>259</v>
      </c>
      <c r="C24" s="9" t="s">
        <v>31</v>
      </c>
      <c r="D24" s="22">
        <v>42875</v>
      </c>
      <c r="E24" s="9">
        <v>1</v>
      </c>
      <c r="F24" s="9">
        <v>1</v>
      </c>
      <c r="G24" s="9">
        <v>0</v>
      </c>
      <c r="H24" s="9">
        <v>0</v>
      </c>
      <c r="I24" s="9">
        <v>0</v>
      </c>
      <c r="J24" s="9">
        <v>0</v>
      </c>
      <c r="K24" s="56">
        <v>42893</v>
      </c>
      <c r="L24" s="24">
        <v>410</v>
      </c>
    </row>
    <row r="25" spans="2:12" x14ac:dyDescent="0.2">
      <c r="B25" s="6" t="s">
        <v>703</v>
      </c>
      <c r="C25" s="9" t="s">
        <v>20</v>
      </c>
      <c r="D25" s="22">
        <v>42907</v>
      </c>
      <c r="E25" s="9">
        <v>1</v>
      </c>
      <c r="F25" s="9">
        <v>0</v>
      </c>
      <c r="G25" s="9">
        <v>1</v>
      </c>
      <c r="H25" s="9">
        <v>1</v>
      </c>
      <c r="I25" s="9">
        <v>0</v>
      </c>
      <c r="J25" s="9">
        <v>0</v>
      </c>
      <c r="K25" s="56">
        <v>42947</v>
      </c>
      <c r="L25" s="24">
        <v>410</v>
      </c>
    </row>
    <row r="26" spans="2:12" x14ac:dyDescent="0.2">
      <c r="B26" s="6" t="s">
        <v>690</v>
      </c>
      <c r="C26" s="9" t="s">
        <v>31</v>
      </c>
      <c r="D26" s="22">
        <v>42864</v>
      </c>
      <c r="E26" s="9">
        <v>1</v>
      </c>
      <c r="F26" s="9">
        <v>1</v>
      </c>
      <c r="G26" s="9">
        <v>0</v>
      </c>
      <c r="H26" s="9">
        <v>0</v>
      </c>
      <c r="I26" s="9">
        <v>0</v>
      </c>
      <c r="J26" s="9">
        <v>0</v>
      </c>
      <c r="K26" s="56">
        <v>42872</v>
      </c>
      <c r="L26" s="24">
        <v>409</v>
      </c>
    </row>
    <row r="27" spans="2:12" x14ac:dyDescent="0.2">
      <c r="B27" s="6" t="s">
        <v>287</v>
      </c>
      <c r="C27" s="9" t="s">
        <v>20</v>
      </c>
      <c r="D27" s="22">
        <v>42826</v>
      </c>
      <c r="E27" s="9">
        <v>1</v>
      </c>
      <c r="F27" s="9">
        <v>1</v>
      </c>
      <c r="G27" s="9">
        <v>0</v>
      </c>
      <c r="H27" s="9">
        <v>0</v>
      </c>
      <c r="I27" s="9">
        <v>0</v>
      </c>
      <c r="J27" s="9">
        <v>0</v>
      </c>
      <c r="K27" s="56">
        <v>42842</v>
      </c>
      <c r="L27" s="24">
        <v>409</v>
      </c>
    </row>
    <row r="28" spans="2:12" x14ac:dyDescent="0.2">
      <c r="B28" s="6" t="s">
        <v>113</v>
      </c>
      <c r="C28" s="9" t="s">
        <v>31</v>
      </c>
      <c r="D28" s="22">
        <v>42866</v>
      </c>
      <c r="E28" s="9">
        <v>1</v>
      </c>
      <c r="F28" s="9">
        <v>1</v>
      </c>
      <c r="G28" s="9">
        <v>0</v>
      </c>
      <c r="H28" s="9">
        <v>0</v>
      </c>
      <c r="I28" s="9">
        <v>0</v>
      </c>
      <c r="J28" s="9">
        <v>0</v>
      </c>
      <c r="K28" s="56">
        <v>42884</v>
      </c>
      <c r="L28" s="24">
        <v>409</v>
      </c>
    </row>
    <row r="29" spans="2:12" x14ac:dyDescent="0.2">
      <c r="B29" s="6" t="s">
        <v>528</v>
      </c>
      <c r="C29" s="9" t="s">
        <v>31</v>
      </c>
      <c r="D29" s="22">
        <v>42850</v>
      </c>
      <c r="E29" s="9">
        <v>1</v>
      </c>
      <c r="F29" s="9">
        <v>0</v>
      </c>
      <c r="G29" s="9">
        <v>1</v>
      </c>
      <c r="H29" s="9">
        <v>0</v>
      </c>
      <c r="I29" s="9">
        <v>1</v>
      </c>
      <c r="J29" s="9">
        <v>1</v>
      </c>
      <c r="K29" s="56">
        <v>42917</v>
      </c>
      <c r="L29" s="24">
        <v>409</v>
      </c>
    </row>
    <row r="30" spans="2:12" x14ac:dyDescent="0.2">
      <c r="B30" s="6" t="s">
        <v>152</v>
      </c>
      <c r="C30" s="9" t="s">
        <v>20</v>
      </c>
      <c r="D30" s="22">
        <v>42870</v>
      </c>
      <c r="E30" s="9">
        <v>1</v>
      </c>
      <c r="F30" s="9">
        <v>1</v>
      </c>
      <c r="G30" s="9">
        <v>0</v>
      </c>
      <c r="H30" s="9">
        <v>0</v>
      </c>
      <c r="I30" s="9">
        <v>0</v>
      </c>
      <c r="J30" s="9">
        <v>0</v>
      </c>
      <c r="K30" s="56">
        <v>42889</v>
      </c>
      <c r="L30" s="24">
        <v>408</v>
      </c>
    </row>
    <row r="31" spans="2:12" x14ac:dyDescent="0.2">
      <c r="B31" s="6" t="s">
        <v>965</v>
      </c>
      <c r="C31" s="9" t="s">
        <v>20</v>
      </c>
      <c r="D31" s="22">
        <v>42906</v>
      </c>
      <c r="E31" s="9">
        <v>1</v>
      </c>
      <c r="F31" s="9">
        <v>1</v>
      </c>
      <c r="G31" s="9">
        <v>0</v>
      </c>
      <c r="H31" s="9">
        <v>0</v>
      </c>
      <c r="I31" s="9">
        <v>0</v>
      </c>
      <c r="J31" s="9">
        <v>0</v>
      </c>
      <c r="K31" s="56">
        <v>42920</v>
      </c>
      <c r="L31" s="24">
        <v>407</v>
      </c>
    </row>
    <row r="32" spans="2:12" x14ac:dyDescent="0.2">
      <c r="B32" s="6" t="s">
        <v>240</v>
      </c>
      <c r="C32" s="9" t="s">
        <v>31</v>
      </c>
      <c r="D32" s="22">
        <v>42848</v>
      </c>
      <c r="E32" s="9">
        <v>1</v>
      </c>
      <c r="F32" s="9">
        <v>1</v>
      </c>
      <c r="G32" s="9">
        <v>0</v>
      </c>
      <c r="H32" s="9">
        <v>0</v>
      </c>
      <c r="I32" s="9">
        <v>0</v>
      </c>
      <c r="J32" s="9">
        <v>0</v>
      </c>
      <c r="K32" s="56">
        <v>42864</v>
      </c>
      <c r="L32" s="24">
        <v>407</v>
      </c>
    </row>
    <row r="33" spans="2:12" x14ac:dyDescent="0.2">
      <c r="B33" s="6" t="s">
        <v>651</v>
      </c>
      <c r="C33" s="9" t="s">
        <v>31</v>
      </c>
      <c r="D33" s="22">
        <v>42898</v>
      </c>
      <c r="E33" s="9">
        <v>1</v>
      </c>
      <c r="F33" s="9">
        <v>1</v>
      </c>
      <c r="G33" s="9">
        <v>0</v>
      </c>
      <c r="H33" s="9">
        <v>0</v>
      </c>
      <c r="I33" s="9">
        <v>0</v>
      </c>
      <c r="J33" s="9">
        <v>0</v>
      </c>
      <c r="K33" s="56">
        <v>42905</v>
      </c>
      <c r="L33" s="24">
        <v>406</v>
      </c>
    </row>
    <row r="34" spans="2:12" x14ac:dyDescent="0.2">
      <c r="B34" s="6" t="s">
        <v>469</v>
      </c>
      <c r="C34" s="9" t="s">
        <v>20</v>
      </c>
      <c r="D34" s="22">
        <v>42871</v>
      </c>
      <c r="E34" s="9">
        <v>1</v>
      </c>
      <c r="F34" s="9">
        <v>1</v>
      </c>
      <c r="G34" s="9">
        <v>0</v>
      </c>
      <c r="H34" s="9">
        <v>0</v>
      </c>
      <c r="I34" s="9">
        <v>0</v>
      </c>
      <c r="J34" s="9">
        <v>0</v>
      </c>
      <c r="K34" s="56">
        <v>42879</v>
      </c>
      <c r="L34" s="24">
        <v>405</v>
      </c>
    </row>
    <row r="35" spans="2:12" x14ac:dyDescent="0.2">
      <c r="B35" s="6" t="s">
        <v>741</v>
      </c>
      <c r="C35" s="9" t="s">
        <v>31</v>
      </c>
      <c r="D35" s="22">
        <v>42859</v>
      </c>
      <c r="E35" s="9">
        <v>1</v>
      </c>
      <c r="F35" s="9">
        <v>1</v>
      </c>
      <c r="G35" s="9">
        <v>0</v>
      </c>
      <c r="H35" s="9">
        <v>0</v>
      </c>
      <c r="I35" s="9">
        <v>0</v>
      </c>
      <c r="J35" s="9">
        <v>0</v>
      </c>
      <c r="K35" s="56">
        <v>42862</v>
      </c>
      <c r="L35" s="24">
        <v>401</v>
      </c>
    </row>
    <row r="36" spans="2:12" x14ac:dyDescent="0.2">
      <c r="B36" s="6" t="s">
        <v>695</v>
      </c>
      <c r="C36" s="9" t="s">
        <v>20</v>
      </c>
      <c r="D36" s="22">
        <v>42839</v>
      </c>
      <c r="E36" s="9">
        <v>1</v>
      </c>
      <c r="F36" s="9">
        <v>1</v>
      </c>
      <c r="G36" s="9">
        <v>0</v>
      </c>
      <c r="H36" s="9">
        <v>0</v>
      </c>
      <c r="I36" s="9">
        <v>0</v>
      </c>
      <c r="J36" s="9">
        <v>0</v>
      </c>
      <c r="K36" s="56">
        <v>42852</v>
      </c>
      <c r="L36" s="24">
        <v>401</v>
      </c>
    </row>
    <row r="37" spans="2:12" x14ac:dyDescent="0.2">
      <c r="B37" s="6" t="s">
        <v>443</v>
      </c>
      <c r="C37" s="9" t="s">
        <v>20</v>
      </c>
      <c r="D37" s="22">
        <v>42912</v>
      </c>
      <c r="E37" s="9">
        <v>1</v>
      </c>
      <c r="F37" s="9">
        <v>1</v>
      </c>
      <c r="G37" s="9">
        <v>0</v>
      </c>
      <c r="H37" s="9">
        <v>0</v>
      </c>
      <c r="I37" s="9">
        <v>0</v>
      </c>
      <c r="J37" s="9">
        <v>0</v>
      </c>
      <c r="K37" s="56">
        <v>42917</v>
      </c>
      <c r="L37" s="24">
        <v>400</v>
      </c>
    </row>
    <row r="38" spans="2:12" x14ac:dyDescent="0.2">
      <c r="B38" s="6" t="s">
        <v>687</v>
      </c>
      <c r="C38" s="9" t="s">
        <v>31</v>
      </c>
      <c r="D38" s="22">
        <v>42891</v>
      </c>
      <c r="E38" s="9">
        <v>1</v>
      </c>
      <c r="F38" s="9">
        <v>1</v>
      </c>
      <c r="G38" s="9">
        <v>0</v>
      </c>
      <c r="H38" s="9">
        <v>0</v>
      </c>
      <c r="I38" s="9">
        <v>0</v>
      </c>
      <c r="J38" s="9">
        <v>0</v>
      </c>
      <c r="K38" s="56">
        <v>42894</v>
      </c>
      <c r="L38" s="24">
        <v>400</v>
      </c>
    </row>
    <row r="39" spans="2:12" x14ac:dyDescent="0.2">
      <c r="B39" s="6" t="s">
        <v>649</v>
      </c>
      <c r="C39" s="9" t="s">
        <v>31</v>
      </c>
      <c r="D39" s="22">
        <v>42916</v>
      </c>
      <c r="E39" s="9">
        <v>1</v>
      </c>
      <c r="F39" s="9">
        <v>1</v>
      </c>
      <c r="G39" s="9">
        <v>0</v>
      </c>
      <c r="H39" s="9">
        <v>0</v>
      </c>
      <c r="I39" s="9">
        <v>0</v>
      </c>
      <c r="J39" s="9">
        <v>0</v>
      </c>
      <c r="K39" s="56">
        <v>42936</v>
      </c>
      <c r="L39" s="24">
        <v>400</v>
      </c>
    </row>
    <row r="40" spans="2:12" x14ac:dyDescent="0.2">
      <c r="B40" s="6" t="s">
        <v>966</v>
      </c>
      <c r="C40" s="9" t="s">
        <v>31</v>
      </c>
      <c r="D40" s="22">
        <v>42866</v>
      </c>
      <c r="E40" s="9">
        <v>1</v>
      </c>
      <c r="F40" s="9">
        <v>1</v>
      </c>
      <c r="G40" s="9">
        <v>0</v>
      </c>
      <c r="H40" s="9">
        <v>0</v>
      </c>
      <c r="I40" s="9">
        <v>0</v>
      </c>
      <c r="J40" s="9">
        <v>0</v>
      </c>
      <c r="K40" s="56">
        <v>42872</v>
      </c>
      <c r="L40" s="24">
        <v>399</v>
      </c>
    </row>
    <row r="41" spans="2:12" x14ac:dyDescent="0.2">
      <c r="B41" s="6" t="s">
        <v>702</v>
      </c>
      <c r="C41" s="9" t="s">
        <v>20</v>
      </c>
      <c r="D41" s="22">
        <v>42910</v>
      </c>
      <c r="E41" s="9">
        <v>1</v>
      </c>
      <c r="F41" s="9">
        <v>0</v>
      </c>
      <c r="G41" s="9">
        <v>1</v>
      </c>
      <c r="H41" s="9">
        <v>1</v>
      </c>
      <c r="I41" s="9">
        <v>0</v>
      </c>
      <c r="J41" s="9">
        <v>0</v>
      </c>
      <c r="K41" s="56">
        <v>42941</v>
      </c>
      <c r="L41" s="24">
        <v>399</v>
      </c>
    </row>
    <row r="42" spans="2:12" x14ac:dyDescent="0.2">
      <c r="B42" s="6" t="s">
        <v>260</v>
      </c>
      <c r="C42" s="9" t="s">
        <v>31</v>
      </c>
      <c r="D42" s="22">
        <v>42866</v>
      </c>
      <c r="E42" s="9">
        <v>1</v>
      </c>
      <c r="F42" s="9">
        <v>1</v>
      </c>
      <c r="G42" s="9">
        <v>0</v>
      </c>
      <c r="H42" s="9">
        <v>0</v>
      </c>
      <c r="I42" s="9">
        <v>0</v>
      </c>
      <c r="J42" s="9">
        <v>0</v>
      </c>
      <c r="K42" s="56">
        <v>42886</v>
      </c>
      <c r="L42" s="24">
        <v>398</v>
      </c>
    </row>
    <row r="43" spans="2:12" x14ac:dyDescent="0.2">
      <c r="B43" s="6" t="s">
        <v>562</v>
      </c>
      <c r="C43" s="9" t="s">
        <v>31</v>
      </c>
      <c r="D43" s="22">
        <v>42835</v>
      </c>
      <c r="E43" s="9">
        <v>1</v>
      </c>
      <c r="F43" s="9">
        <v>1</v>
      </c>
      <c r="G43" s="9">
        <v>0</v>
      </c>
      <c r="H43" s="9">
        <v>0</v>
      </c>
      <c r="I43" s="9">
        <v>0</v>
      </c>
      <c r="J43" s="9">
        <v>0</v>
      </c>
      <c r="K43" s="56">
        <v>42851</v>
      </c>
      <c r="L43" s="24">
        <v>396</v>
      </c>
    </row>
    <row r="44" spans="2:12" x14ac:dyDescent="0.2">
      <c r="B44" s="6" t="s">
        <v>402</v>
      </c>
      <c r="C44" s="9" t="s">
        <v>20</v>
      </c>
      <c r="D44" s="22">
        <v>42884</v>
      </c>
      <c r="E44" s="9">
        <v>1</v>
      </c>
      <c r="F44" s="9">
        <v>1</v>
      </c>
      <c r="G44" s="9">
        <v>0</v>
      </c>
      <c r="H44" s="9">
        <v>0</v>
      </c>
      <c r="I44" s="9">
        <v>0</v>
      </c>
      <c r="J44" s="9">
        <v>0</v>
      </c>
      <c r="K44" s="56">
        <v>42904</v>
      </c>
      <c r="L44" s="24">
        <v>396</v>
      </c>
    </row>
    <row r="45" spans="2:12" x14ac:dyDescent="0.2">
      <c r="B45" s="6" t="s">
        <v>581</v>
      </c>
      <c r="C45" s="9" t="s">
        <v>20</v>
      </c>
      <c r="D45" s="22">
        <v>42839</v>
      </c>
      <c r="E45" s="9">
        <v>1</v>
      </c>
      <c r="F45" s="9">
        <v>0</v>
      </c>
      <c r="G45" s="9">
        <v>1</v>
      </c>
      <c r="H45" s="9">
        <v>1</v>
      </c>
      <c r="I45" s="9">
        <v>0</v>
      </c>
      <c r="J45" s="9">
        <v>0</v>
      </c>
      <c r="K45" s="56">
        <v>42877</v>
      </c>
      <c r="L45" s="24">
        <v>393</v>
      </c>
    </row>
    <row r="46" spans="2:12" x14ac:dyDescent="0.2">
      <c r="B46" s="6" t="s">
        <v>700</v>
      </c>
      <c r="C46" s="9" t="s">
        <v>31</v>
      </c>
      <c r="D46" s="22">
        <v>42904</v>
      </c>
      <c r="E46" s="9">
        <v>1</v>
      </c>
      <c r="F46" s="9">
        <v>0</v>
      </c>
      <c r="G46" s="9">
        <v>1</v>
      </c>
      <c r="H46" s="9">
        <v>1</v>
      </c>
      <c r="I46" s="9">
        <v>0</v>
      </c>
      <c r="J46" s="9">
        <v>0</v>
      </c>
      <c r="K46" s="56">
        <v>42938</v>
      </c>
      <c r="L46" s="24">
        <v>393</v>
      </c>
    </row>
    <row r="47" spans="2:12" x14ac:dyDescent="0.2">
      <c r="B47" s="6" t="s">
        <v>332</v>
      </c>
      <c r="C47" s="9" t="s">
        <v>20</v>
      </c>
      <c r="D47" s="22">
        <v>42890</v>
      </c>
      <c r="E47" s="9">
        <v>1</v>
      </c>
      <c r="F47" s="9">
        <v>1</v>
      </c>
      <c r="G47" s="9">
        <v>0</v>
      </c>
      <c r="H47" s="9">
        <v>0</v>
      </c>
      <c r="I47" s="9">
        <v>0</v>
      </c>
      <c r="J47" s="9">
        <v>0</v>
      </c>
      <c r="K47" s="56">
        <v>42912</v>
      </c>
      <c r="L47" s="24">
        <v>393</v>
      </c>
    </row>
    <row r="48" spans="2:12" x14ac:dyDescent="0.2">
      <c r="B48" s="6" t="s">
        <v>598</v>
      </c>
      <c r="C48" s="9" t="s">
        <v>31</v>
      </c>
      <c r="D48" s="22">
        <v>42856</v>
      </c>
      <c r="E48" s="9">
        <v>1</v>
      </c>
      <c r="F48" s="9">
        <v>0</v>
      </c>
      <c r="G48" s="9">
        <v>1</v>
      </c>
      <c r="H48" s="9">
        <v>1</v>
      </c>
      <c r="I48" s="9">
        <v>0</v>
      </c>
      <c r="J48" s="9">
        <v>0</v>
      </c>
      <c r="K48" s="56">
        <v>42910</v>
      </c>
      <c r="L48" s="24">
        <v>392</v>
      </c>
    </row>
    <row r="49" spans="2:12" x14ac:dyDescent="0.2">
      <c r="B49" s="6" t="s">
        <v>557</v>
      </c>
      <c r="C49" s="9" t="s">
        <v>20</v>
      </c>
      <c r="D49" s="22">
        <v>42885</v>
      </c>
      <c r="E49" s="9">
        <v>1</v>
      </c>
      <c r="F49" s="9">
        <v>1</v>
      </c>
      <c r="G49" s="9">
        <v>0</v>
      </c>
      <c r="H49" s="9">
        <v>0</v>
      </c>
      <c r="I49" s="9">
        <v>0</v>
      </c>
      <c r="J49" s="9">
        <v>0</v>
      </c>
      <c r="K49" s="56">
        <v>42898</v>
      </c>
      <c r="L49" s="24">
        <v>392</v>
      </c>
    </row>
    <row r="50" spans="2:12" x14ac:dyDescent="0.2">
      <c r="B50" s="6" t="s">
        <v>604</v>
      </c>
      <c r="C50" s="9" t="s">
        <v>20</v>
      </c>
      <c r="D50" s="22">
        <v>42880</v>
      </c>
      <c r="E50" s="9">
        <v>1</v>
      </c>
      <c r="F50" s="9">
        <v>1</v>
      </c>
      <c r="G50" s="9">
        <v>0</v>
      </c>
      <c r="H50" s="9">
        <v>0</v>
      </c>
      <c r="I50" s="9">
        <v>0</v>
      </c>
      <c r="J50" s="9">
        <v>0</v>
      </c>
      <c r="K50" s="56">
        <v>42886</v>
      </c>
      <c r="L50" s="24">
        <v>390</v>
      </c>
    </row>
    <row r="51" spans="2:12" x14ac:dyDescent="0.2">
      <c r="B51" s="6" t="s">
        <v>348</v>
      </c>
      <c r="C51" s="9" t="s">
        <v>20</v>
      </c>
      <c r="D51" s="22">
        <v>42890</v>
      </c>
      <c r="E51" s="9">
        <v>1</v>
      </c>
      <c r="F51" s="9">
        <v>0</v>
      </c>
      <c r="G51" s="9">
        <v>1</v>
      </c>
      <c r="H51" s="9">
        <v>1</v>
      </c>
      <c r="I51" s="9">
        <v>0</v>
      </c>
      <c r="J51" s="9">
        <v>0</v>
      </c>
      <c r="K51" s="56">
        <v>42934</v>
      </c>
      <c r="L51" s="24">
        <v>390</v>
      </c>
    </row>
    <row r="52" spans="2:12" x14ac:dyDescent="0.2">
      <c r="B52" s="6" t="s">
        <v>367</v>
      </c>
      <c r="C52" s="9" t="s">
        <v>20</v>
      </c>
      <c r="D52" s="22">
        <v>42879</v>
      </c>
      <c r="E52" s="9">
        <v>1</v>
      </c>
      <c r="F52" s="9">
        <v>1</v>
      </c>
      <c r="G52" s="9">
        <v>0</v>
      </c>
      <c r="H52" s="9">
        <v>0</v>
      </c>
      <c r="I52" s="9">
        <v>0</v>
      </c>
      <c r="J52" s="9">
        <v>0</v>
      </c>
      <c r="K52" s="56">
        <v>42902</v>
      </c>
      <c r="L52" s="24">
        <v>389</v>
      </c>
    </row>
    <row r="53" spans="2:12" x14ac:dyDescent="0.2">
      <c r="B53" s="6" t="s">
        <v>102</v>
      </c>
      <c r="C53" s="9" t="s">
        <v>31</v>
      </c>
      <c r="D53" s="22">
        <v>42915</v>
      </c>
      <c r="E53" s="9">
        <v>1</v>
      </c>
      <c r="F53" s="9">
        <v>1</v>
      </c>
      <c r="G53" s="9">
        <v>0</v>
      </c>
      <c r="H53" s="9">
        <v>0</v>
      </c>
      <c r="I53" s="9">
        <v>0</v>
      </c>
      <c r="J53" s="9">
        <v>0</v>
      </c>
      <c r="K53" s="56">
        <v>42940</v>
      </c>
      <c r="L53" s="24">
        <v>389</v>
      </c>
    </row>
    <row r="54" spans="2:12" x14ac:dyDescent="0.2">
      <c r="B54" s="6" t="s">
        <v>169</v>
      </c>
      <c r="C54" s="9" t="s">
        <v>20</v>
      </c>
      <c r="D54" s="22">
        <v>42897</v>
      </c>
      <c r="E54" s="9">
        <v>1</v>
      </c>
      <c r="F54" s="9">
        <v>0</v>
      </c>
      <c r="G54" s="9">
        <v>1</v>
      </c>
      <c r="H54" s="9">
        <v>1</v>
      </c>
      <c r="I54" s="9">
        <v>0</v>
      </c>
      <c r="J54" s="9">
        <v>0</v>
      </c>
      <c r="K54" s="56">
        <v>42948</v>
      </c>
      <c r="L54" s="24">
        <v>388</v>
      </c>
    </row>
    <row r="55" spans="2:12" x14ac:dyDescent="0.2">
      <c r="B55" s="6" t="s">
        <v>369</v>
      </c>
      <c r="C55" s="9" t="s">
        <v>20</v>
      </c>
      <c r="D55" s="22">
        <v>42855</v>
      </c>
      <c r="E55" s="9">
        <v>1</v>
      </c>
      <c r="F55" s="9">
        <v>0</v>
      </c>
      <c r="G55" s="9">
        <v>1</v>
      </c>
      <c r="H55" s="9">
        <v>1</v>
      </c>
      <c r="I55" s="9">
        <v>0</v>
      </c>
      <c r="J55" s="9">
        <v>0</v>
      </c>
      <c r="K55" s="56">
        <v>42896</v>
      </c>
      <c r="L55" s="24">
        <v>388</v>
      </c>
    </row>
    <row r="56" spans="2:12" x14ac:dyDescent="0.2">
      <c r="B56" s="6" t="s">
        <v>595</v>
      </c>
      <c r="C56" s="9" t="s">
        <v>20</v>
      </c>
      <c r="D56" s="22">
        <v>42906</v>
      </c>
      <c r="E56" s="9">
        <v>1</v>
      </c>
      <c r="F56" s="9">
        <v>0</v>
      </c>
      <c r="G56" s="9">
        <v>1</v>
      </c>
      <c r="H56" s="9">
        <v>1</v>
      </c>
      <c r="I56" s="9">
        <v>0</v>
      </c>
      <c r="J56" s="9">
        <v>0</v>
      </c>
      <c r="K56" s="56">
        <v>42950</v>
      </c>
      <c r="L56" s="24">
        <v>388</v>
      </c>
    </row>
    <row r="57" spans="2:12" x14ac:dyDescent="0.2">
      <c r="B57" s="6" t="s">
        <v>597</v>
      </c>
      <c r="C57" s="9" t="s">
        <v>31</v>
      </c>
      <c r="D57" s="22">
        <v>42868</v>
      </c>
      <c r="E57" s="9">
        <v>1</v>
      </c>
      <c r="F57" s="9">
        <v>1</v>
      </c>
      <c r="G57" s="9">
        <v>0</v>
      </c>
      <c r="H57" s="9">
        <v>0</v>
      </c>
      <c r="I57" s="9">
        <v>0</v>
      </c>
      <c r="J57" s="9">
        <v>0</v>
      </c>
      <c r="K57" s="56">
        <v>42875</v>
      </c>
      <c r="L57" s="24">
        <v>387</v>
      </c>
    </row>
    <row r="58" spans="2:12" x14ac:dyDescent="0.2">
      <c r="B58" s="6" t="s">
        <v>620</v>
      </c>
      <c r="C58" s="9" t="s">
        <v>31</v>
      </c>
      <c r="D58" s="22">
        <v>42915</v>
      </c>
      <c r="E58" s="9">
        <v>1</v>
      </c>
      <c r="F58" s="9">
        <v>1</v>
      </c>
      <c r="G58" s="9">
        <v>0</v>
      </c>
      <c r="H58" s="9">
        <v>0</v>
      </c>
      <c r="I58" s="9">
        <v>0</v>
      </c>
      <c r="J58" s="9">
        <v>0</v>
      </c>
      <c r="K58" s="56">
        <v>42923</v>
      </c>
      <c r="L58" s="24">
        <v>387</v>
      </c>
    </row>
    <row r="59" spans="2:12" x14ac:dyDescent="0.2">
      <c r="B59" s="6" t="s">
        <v>107</v>
      </c>
      <c r="C59" s="9" t="s">
        <v>20</v>
      </c>
      <c r="D59" s="22">
        <v>42887</v>
      </c>
      <c r="E59" s="9">
        <v>1</v>
      </c>
      <c r="F59" s="9">
        <v>1</v>
      </c>
      <c r="G59" s="9">
        <v>0</v>
      </c>
      <c r="H59" s="9">
        <v>0</v>
      </c>
      <c r="I59" s="9">
        <v>0</v>
      </c>
      <c r="J59" s="9">
        <v>0</v>
      </c>
      <c r="K59" s="56">
        <v>42901</v>
      </c>
      <c r="L59" s="24">
        <v>386</v>
      </c>
    </row>
    <row r="60" spans="2:12" x14ac:dyDescent="0.2">
      <c r="B60" s="6" t="s">
        <v>395</v>
      </c>
      <c r="C60" s="9" t="s">
        <v>20</v>
      </c>
      <c r="D60" s="22">
        <v>42854</v>
      </c>
      <c r="E60" s="9">
        <v>1</v>
      </c>
      <c r="F60" s="9">
        <v>1</v>
      </c>
      <c r="G60" s="9">
        <v>0</v>
      </c>
      <c r="H60" s="9">
        <v>0</v>
      </c>
      <c r="I60" s="9">
        <v>0</v>
      </c>
      <c r="J60" s="9">
        <v>0</v>
      </c>
      <c r="K60" s="56">
        <v>42863</v>
      </c>
      <c r="L60" s="24">
        <v>385</v>
      </c>
    </row>
    <row r="61" spans="2:12" x14ac:dyDescent="0.2">
      <c r="B61" s="6" t="s">
        <v>278</v>
      </c>
      <c r="C61" s="9" t="s">
        <v>20</v>
      </c>
      <c r="D61" s="22">
        <v>42865</v>
      </c>
      <c r="E61" s="9">
        <v>1</v>
      </c>
      <c r="F61" s="9">
        <v>0</v>
      </c>
      <c r="G61" s="9">
        <v>1</v>
      </c>
      <c r="H61" s="9">
        <v>1</v>
      </c>
      <c r="I61" s="9">
        <v>0</v>
      </c>
      <c r="J61" s="9">
        <v>0</v>
      </c>
      <c r="K61" s="56">
        <v>42918</v>
      </c>
      <c r="L61" s="24">
        <v>385</v>
      </c>
    </row>
    <row r="62" spans="2:12" x14ac:dyDescent="0.2">
      <c r="B62" s="6" t="s">
        <v>185</v>
      </c>
      <c r="C62" s="9" t="s">
        <v>31</v>
      </c>
      <c r="D62" s="22">
        <v>42870</v>
      </c>
      <c r="E62" s="9">
        <v>1</v>
      </c>
      <c r="F62" s="9">
        <v>1</v>
      </c>
      <c r="G62" s="9">
        <v>0</v>
      </c>
      <c r="H62" s="9">
        <v>0</v>
      </c>
      <c r="I62" s="9">
        <v>0</v>
      </c>
      <c r="J62" s="9">
        <v>0</v>
      </c>
      <c r="K62" s="56">
        <v>42879</v>
      </c>
      <c r="L62" s="24">
        <v>383</v>
      </c>
    </row>
    <row r="63" spans="2:12" x14ac:dyDescent="0.2">
      <c r="B63" s="6" t="s">
        <v>967</v>
      </c>
      <c r="C63" s="9" t="s">
        <v>31</v>
      </c>
      <c r="D63" s="22">
        <v>42898</v>
      </c>
      <c r="E63" s="9">
        <v>1</v>
      </c>
      <c r="F63" s="9">
        <v>1</v>
      </c>
      <c r="G63" s="9">
        <v>0</v>
      </c>
      <c r="H63" s="9">
        <v>0</v>
      </c>
      <c r="I63" s="9">
        <v>0</v>
      </c>
      <c r="J63" s="9">
        <v>0</v>
      </c>
      <c r="K63" s="56">
        <v>42901</v>
      </c>
      <c r="L63" s="24">
        <v>383</v>
      </c>
    </row>
    <row r="64" spans="2:12" x14ac:dyDescent="0.2">
      <c r="B64" s="6" t="s">
        <v>434</v>
      </c>
      <c r="C64" s="9" t="s">
        <v>20</v>
      </c>
      <c r="D64" s="22">
        <v>42904</v>
      </c>
      <c r="E64" s="9">
        <v>1</v>
      </c>
      <c r="F64" s="9">
        <v>1</v>
      </c>
      <c r="G64" s="9">
        <v>0</v>
      </c>
      <c r="H64" s="9">
        <v>0</v>
      </c>
      <c r="I64" s="9">
        <v>0</v>
      </c>
      <c r="J64" s="9">
        <v>0</v>
      </c>
      <c r="K64" s="56">
        <v>42928</v>
      </c>
      <c r="L64" s="24">
        <v>383</v>
      </c>
    </row>
    <row r="65" spans="2:12" x14ac:dyDescent="0.2">
      <c r="B65" s="6" t="s">
        <v>669</v>
      </c>
      <c r="C65" s="9" t="s">
        <v>20</v>
      </c>
      <c r="D65" s="22">
        <v>42887</v>
      </c>
      <c r="E65" s="9">
        <v>1</v>
      </c>
      <c r="F65" s="9">
        <v>0</v>
      </c>
      <c r="G65" s="9">
        <v>1</v>
      </c>
      <c r="H65" s="9">
        <v>1</v>
      </c>
      <c r="I65" s="9">
        <v>0</v>
      </c>
      <c r="J65" s="9">
        <v>0</v>
      </c>
      <c r="K65" s="56">
        <v>42929</v>
      </c>
      <c r="L65" s="24">
        <v>383</v>
      </c>
    </row>
    <row r="66" spans="2:12" x14ac:dyDescent="0.2">
      <c r="B66" s="6" t="s">
        <v>453</v>
      </c>
      <c r="C66" s="9" t="s">
        <v>31</v>
      </c>
      <c r="D66" s="22">
        <v>42896</v>
      </c>
      <c r="E66" s="9">
        <v>1</v>
      </c>
      <c r="F66" s="9">
        <v>1</v>
      </c>
      <c r="G66" s="9">
        <v>0</v>
      </c>
      <c r="H66" s="9">
        <v>0</v>
      </c>
      <c r="I66" s="9">
        <v>0</v>
      </c>
      <c r="J66" s="9">
        <v>0</v>
      </c>
      <c r="K66" s="56">
        <v>42906</v>
      </c>
      <c r="L66" s="24">
        <v>383</v>
      </c>
    </row>
    <row r="67" spans="2:12" x14ac:dyDescent="0.2">
      <c r="B67" s="6" t="s">
        <v>968</v>
      </c>
      <c r="C67" s="9" t="s">
        <v>31</v>
      </c>
      <c r="D67" s="22">
        <v>42912</v>
      </c>
      <c r="E67" s="9">
        <v>1</v>
      </c>
      <c r="F67" s="9">
        <v>0</v>
      </c>
      <c r="G67" s="9">
        <v>1</v>
      </c>
      <c r="H67" s="9">
        <v>1</v>
      </c>
      <c r="I67" s="9">
        <v>0</v>
      </c>
      <c r="J67" s="9">
        <v>0</v>
      </c>
      <c r="K67" s="56">
        <v>42953</v>
      </c>
      <c r="L67" s="24">
        <v>383</v>
      </c>
    </row>
    <row r="68" spans="2:12" x14ac:dyDescent="0.2">
      <c r="B68" s="6" t="s">
        <v>344</v>
      </c>
      <c r="C68" s="9" t="s">
        <v>31</v>
      </c>
      <c r="D68" s="22">
        <v>42913</v>
      </c>
      <c r="E68" s="9">
        <v>1</v>
      </c>
      <c r="F68" s="9">
        <v>1</v>
      </c>
      <c r="G68" s="9">
        <v>0</v>
      </c>
      <c r="H68" s="9">
        <v>0</v>
      </c>
      <c r="I68" s="9">
        <v>0</v>
      </c>
      <c r="J68" s="9">
        <v>0</v>
      </c>
      <c r="K68" s="56">
        <v>42914</v>
      </c>
      <c r="L68" s="24">
        <v>382</v>
      </c>
    </row>
    <row r="69" spans="2:12" x14ac:dyDescent="0.2">
      <c r="B69" s="6" t="s">
        <v>84</v>
      </c>
      <c r="C69" s="9" t="s">
        <v>20</v>
      </c>
      <c r="D69" s="22">
        <v>42885</v>
      </c>
      <c r="E69" s="9">
        <v>1</v>
      </c>
      <c r="F69" s="9">
        <v>1</v>
      </c>
      <c r="G69" s="9">
        <v>0</v>
      </c>
      <c r="H69" s="9">
        <v>0</v>
      </c>
      <c r="I69" s="9">
        <v>0</v>
      </c>
      <c r="J69" s="9">
        <v>0</v>
      </c>
      <c r="K69" s="56">
        <v>42906</v>
      </c>
      <c r="L69" s="24">
        <v>382</v>
      </c>
    </row>
    <row r="70" spans="2:12" x14ac:dyDescent="0.2">
      <c r="B70" s="6" t="s">
        <v>213</v>
      </c>
      <c r="C70" s="9" t="s">
        <v>31</v>
      </c>
      <c r="D70" s="22">
        <v>42856</v>
      </c>
      <c r="E70" s="9">
        <v>1</v>
      </c>
      <c r="F70" s="9">
        <v>1</v>
      </c>
      <c r="G70" s="9">
        <v>0</v>
      </c>
      <c r="H70" s="9">
        <v>0</v>
      </c>
      <c r="I70" s="9">
        <v>0</v>
      </c>
      <c r="J70" s="9">
        <v>0</v>
      </c>
      <c r="K70" s="56">
        <v>42874</v>
      </c>
      <c r="L70" s="24">
        <v>380</v>
      </c>
    </row>
    <row r="71" spans="2:12" x14ac:dyDescent="0.2">
      <c r="B71" s="6" t="s">
        <v>753</v>
      </c>
      <c r="C71" s="9" t="s">
        <v>31</v>
      </c>
      <c r="D71" s="22">
        <v>42841</v>
      </c>
      <c r="E71" s="9">
        <v>1</v>
      </c>
      <c r="F71" s="9">
        <v>0</v>
      </c>
      <c r="G71" s="9">
        <v>1</v>
      </c>
      <c r="H71" s="9">
        <v>1</v>
      </c>
      <c r="I71" s="9">
        <v>0</v>
      </c>
      <c r="J71" s="9">
        <v>0</v>
      </c>
      <c r="K71" s="56">
        <v>42881</v>
      </c>
      <c r="L71" s="24">
        <v>380</v>
      </c>
    </row>
    <row r="72" spans="2:12" x14ac:dyDescent="0.2">
      <c r="B72" s="6" t="s">
        <v>969</v>
      </c>
      <c r="C72" s="9" t="s">
        <v>31</v>
      </c>
      <c r="D72" s="22">
        <v>42912</v>
      </c>
      <c r="E72" s="9">
        <v>1</v>
      </c>
      <c r="F72" s="9">
        <v>1</v>
      </c>
      <c r="G72" s="9">
        <v>0</v>
      </c>
      <c r="H72" s="9">
        <v>0</v>
      </c>
      <c r="I72" s="9">
        <v>0</v>
      </c>
      <c r="J72" s="9">
        <v>0</v>
      </c>
      <c r="K72" s="56">
        <v>42927</v>
      </c>
      <c r="L72" s="24">
        <v>379</v>
      </c>
    </row>
    <row r="73" spans="2:12" x14ac:dyDescent="0.2">
      <c r="B73" s="6" t="s">
        <v>444</v>
      </c>
      <c r="C73" s="9" t="s">
        <v>20</v>
      </c>
      <c r="D73" s="22">
        <v>42909</v>
      </c>
      <c r="E73" s="9">
        <v>1</v>
      </c>
      <c r="F73" s="9">
        <v>1</v>
      </c>
      <c r="G73" s="9">
        <v>0</v>
      </c>
      <c r="H73" s="9">
        <v>0</v>
      </c>
      <c r="I73" s="9">
        <v>0</v>
      </c>
      <c r="J73" s="9">
        <v>0</v>
      </c>
      <c r="K73" s="56">
        <v>42931</v>
      </c>
      <c r="L73" s="24">
        <v>378</v>
      </c>
    </row>
    <row r="74" spans="2:12" x14ac:dyDescent="0.2">
      <c r="B74" s="6" t="s">
        <v>661</v>
      </c>
      <c r="C74" s="9" t="s">
        <v>31</v>
      </c>
      <c r="D74" s="22">
        <v>42876</v>
      </c>
      <c r="E74" s="9">
        <v>1</v>
      </c>
      <c r="F74" s="9">
        <v>1</v>
      </c>
      <c r="G74" s="9">
        <v>0</v>
      </c>
      <c r="H74" s="9">
        <v>0</v>
      </c>
      <c r="I74" s="9">
        <v>0</v>
      </c>
      <c r="J74" s="9">
        <v>0</v>
      </c>
      <c r="K74" s="56">
        <v>42883</v>
      </c>
      <c r="L74" s="24">
        <v>377</v>
      </c>
    </row>
    <row r="75" spans="2:12" x14ac:dyDescent="0.2">
      <c r="B75" s="6" t="s">
        <v>315</v>
      </c>
      <c r="C75" s="9" t="s">
        <v>31</v>
      </c>
      <c r="D75" s="22">
        <v>42877</v>
      </c>
      <c r="E75" s="9">
        <v>1</v>
      </c>
      <c r="F75" s="9">
        <v>1</v>
      </c>
      <c r="G75" s="9">
        <v>0</v>
      </c>
      <c r="H75" s="9">
        <v>0</v>
      </c>
      <c r="I75" s="9">
        <v>0</v>
      </c>
      <c r="J75" s="9">
        <v>0</v>
      </c>
      <c r="K75" s="56">
        <v>42902</v>
      </c>
      <c r="L75" s="24">
        <v>377</v>
      </c>
    </row>
    <row r="76" spans="2:12" x14ac:dyDescent="0.2">
      <c r="B76" s="6" t="s">
        <v>281</v>
      </c>
      <c r="C76" s="9" t="s">
        <v>31</v>
      </c>
      <c r="D76" s="22">
        <v>42912</v>
      </c>
      <c r="E76" s="9">
        <v>1</v>
      </c>
      <c r="F76" s="9">
        <v>1</v>
      </c>
      <c r="G76" s="9">
        <v>0</v>
      </c>
      <c r="H76" s="9">
        <v>0</v>
      </c>
      <c r="I76" s="9">
        <v>0</v>
      </c>
      <c r="J76" s="9">
        <v>0</v>
      </c>
      <c r="K76" s="56">
        <v>42933</v>
      </c>
      <c r="L76" s="24">
        <v>376</v>
      </c>
    </row>
    <row r="77" spans="2:12" x14ac:dyDescent="0.2">
      <c r="B77" s="6" t="s">
        <v>285</v>
      </c>
      <c r="C77" s="9" t="s">
        <v>31</v>
      </c>
      <c r="D77" s="22">
        <v>42864</v>
      </c>
      <c r="E77" s="9">
        <v>1</v>
      </c>
      <c r="F77" s="9">
        <v>1</v>
      </c>
      <c r="G77" s="9">
        <v>0</v>
      </c>
      <c r="H77" s="9">
        <v>0</v>
      </c>
      <c r="I77" s="9">
        <v>0</v>
      </c>
      <c r="J77" s="9">
        <v>0</v>
      </c>
      <c r="K77" s="56">
        <v>42885</v>
      </c>
      <c r="L77" s="24">
        <v>376</v>
      </c>
    </row>
    <row r="78" spans="2:12" x14ac:dyDescent="0.2">
      <c r="B78" s="6" t="s">
        <v>350</v>
      </c>
      <c r="C78" s="9" t="s">
        <v>20</v>
      </c>
      <c r="D78" s="22">
        <v>42875</v>
      </c>
      <c r="E78" s="9">
        <v>1</v>
      </c>
      <c r="F78" s="9">
        <v>1</v>
      </c>
      <c r="G78" s="9">
        <v>0</v>
      </c>
      <c r="H78" s="9">
        <v>0</v>
      </c>
      <c r="I78" s="9">
        <v>0</v>
      </c>
      <c r="J78" s="9">
        <v>0</v>
      </c>
      <c r="K78" s="56">
        <v>42895</v>
      </c>
      <c r="L78" s="24">
        <v>375</v>
      </c>
    </row>
    <row r="79" spans="2:12" x14ac:dyDescent="0.2">
      <c r="B79" s="6" t="s">
        <v>79</v>
      </c>
      <c r="C79" s="9" t="s">
        <v>31</v>
      </c>
      <c r="D79" s="22">
        <v>42837</v>
      </c>
      <c r="E79" s="9">
        <v>1</v>
      </c>
      <c r="F79" s="9">
        <v>1</v>
      </c>
      <c r="G79" s="9">
        <v>0</v>
      </c>
      <c r="H79" s="9">
        <v>0</v>
      </c>
      <c r="I79" s="9">
        <v>0</v>
      </c>
      <c r="J79" s="9">
        <v>0</v>
      </c>
      <c r="K79" s="56">
        <v>42844</v>
      </c>
      <c r="L79" s="24">
        <v>374</v>
      </c>
    </row>
    <row r="80" spans="2:12" x14ac:dyDescent="0.2">
      <c r="B80" s="6" t="s">
        <v>321</v>
      </c>
      <c r="C80" s="9" t="s">
        <v>31</v>
      </c>
      <c r="D80" s="22">
        <v>42902</v>
      </c>
      <c r="E80" s="9">
        <v>1</v>
      </c>
      <c r="F80" s="9">
        <v>1</v>
      </c>
      <c r="G80" s="9">
        <v>0</v>
      </c>
      <c r="H80" s="9">
        <v>0</v>
      </c>
      <c r="I80" s="9">
        <v>0</v>
      </c>
      <c r="J80" s="9">
        <v>0</v>
      </c>
      <c r="K80" s="56">
        <v>42917</v>
      </c>
      <c r="L80" s="24">
        <v>373</v>
      </c>
    </row>
    <row r="81" spans="2:12" x14ac:dyDescent="0.2">
      <c r="B81" s="6" t="s">
        <v>619</v>
      </c>
      <c r="C81" s="9" t="s">
        <v>31</v>
      </c>
      <c r="D81" s="22">
        <v>42890</v>
      </c>
      <c r="E81" s="9">
        <v>1</v>
      </c>
      <c r="F81" s="9">
        <v>1</v>
      </c>
      <c r="G81" s="9">
        <v>0</v>
      </c>
      <c r="H81" s="9">
        <v>0</v>
      </c>
      <c r="I81" s="9">
        <v>0</v>
      </c>
      <c r="J81" s="9">
        <v>0</v>
      </c>
      <c r="K81" s="56">
        <v>42892</v>
      </c>
      <c r="L81" s="24">
        <v>373</v>
      </c>
    </row>
    <row r="82" spans="2:12" x14ac:dyDescent="0.2">
      <c r="B82" s="6" t="s">
        <v>190</v>
      </c>
      <c r="C82" s="9" t="s">
        <v>31</v>
      </c>
      <c r="D82" s="22">
        <v>42900</v>
      </c>
      <c r="E82" s="9">
        <v>1</v>
      </c>
      <c r="F82" s="9">
        <v>0</v>
      </c>
      <c r="G82" s="9">
        <v>1</v>
      </c>
      <c r="H82" s="9">
        <v>1</v>
      </c>
      <c r="I82" s="9">
        <v>0</v>
      </c>
      <c r="J82" s="9">
        <v>0</v>
      </c>
      <c r="K82" s="56">
        <v>42942</v>
      </c>
      <c r="L82" s="24">
        <v>373</v>
      </c>
    </row>
    <row r="83" spans="2:12" x14ac:dyDescent="0.2">
      <c r="B83" s="6" t="s">
        <v>417</v>
      </c>
      <c r="C83" s="9" t="s">
        <v>20</v>
      </c>
      <c r="D83" s="22">
        <v>42842</v>
      </c>
      <c r="E83" s="9">
        <v>1</v>
      </c>
      <c r="F83" s="9">
        <v>1</v>
      </c>
      <c r="G83" s="9">
        <v>0</v>
      </c>
      <c r="H83" s="9">
        <v>0</v>
      </c>
      <c r="I83" s="9">
        <v>0</v>
      </c>
      <c r="J83" s="9">
        <v>0</v>
      </c>
      <c r="K83" s="56">
        <v>42844</v>
      </c>
      <c r="L83" s="24">
        <v>373</v>
      </c>
    </row>
    <row r="84" spans="2:12" x14ac:dyDescent="0.2">
      <c r="B84" s="6" t="s">
        <v>656</v>
      </c>
      <c r="C84" s="9" t="s">
        <v>20</v>
      </c>
      <c r="D84" s="22">
        <v>42883</v>
      </c>
      <c r="E84" s="9">
        <v>1</v>
      </c>
      <c r="F84" s="9">
        <v>1</v>
      </c>
      <c r="G84" s="9">
        <v>0</v>
      </c>
      <c r="H84" s="9">
        <v>0</v>
      </c>
      <c r="I84" s="9">
        <v>0</v>
      </c>
      <c r="J84" s="9">
        <v>0</v>
      </c>
      <c r="K84" s="56">
        <v>42908</v>
      </c>
      <c r="L84" s="24">
        <v>373</v>
      </c>
    </row>
    <row r="85" spans="2:12" x14ac:dyDescent="0.2">
      <c r="B85" s="6" t="s">
        <v>520</v>
      </c>
      <c r="C85" s="9" t="s">
        <v>31</v>
      </c>
      <c r="D85" s="22">
        <v>42864</v>
      </c>
      <c r="E85" s="9">
        <v>1</v>
      </c>
      <c r="F85" s="9">
        <v>1</v>
      </c>
      <c r="G85" s="9">
        <v>0</v>
      </c>
      <c r="H85" s="9">
        <v>0</v>
      </c>
      <c r="I85" s="9">
        <v>0</v>
      </c>
      <c r="J85" s="9">
        <v>0</v>
      </c>
      <c r="K85" s="56">
        <v>42877</v>
      </c>
      <c r="L85" s="24">
        <v>372</v>
      </c>
    </row>
    <row r="86" spans="2:12" x14ac:dyDescent="0.2">
      <c r="B86" s="6" t="s">
        <v>602</v>
      </c>
      <c r="C86" s="9" t="s">
        <v>20</v>
      </c>
      <c r="D86" s="22">
        <v>42856</v>
      </c>
      <c r="E86" s="9">
        <v>1</v>
      </c>
      <c r="F86" s="9">
        <v>1</v>
      </c>
      <c r="G86" s="9">
        <v>0</v>
      </c>
      <c r="H86" s="9">
        <v>0</v>
      </c>
      <c r="I86" s="9">
        <v>0</v>
      </c>
      <c r="J86" s="9">
        <v>0</v>
      </c>
      <c r="K86" s="56">
        <v>42857</v>
      </c>
      <c r="L86" s="24">
        <v>370</v>
      </c>
    </row>
    <row r="87" spans="2:12" x14ac:dyDescent="0.2">
      <c r="B87" s="6" t="s">
        <v>482</v>
      </c>
      <c r="C87" s="9" t="s">
        <v>20</v>
      </c>
      <c r="D87" s="22">
        <v>42873</v>
      </c>
      <c r="E87" s="9">
        <v>1</v>
      </c>
      <c r="F87" s="9">
        <v>0</v>
      </c>
      <c r="G87" s="9">
        <v>1</v>
      </c>
      <c r="H87" s="9">
        <v>1</v>
      </c>
      <c r="I87" s="9">
        <v>0</v>
      </c>
      <c r="J87" s="9">
        <v>0</v>
      </c>
      <c r="K87" s="56">
        <v>42919</v>
      </c>
      <c r="L87" s="24">
        <v>370</v>
      </c>
    </row>
    <row r="88" spans="2:12" x14ac:dyDescent="0.2">
      <c r="B88" s="6" t="s">
        <v>706</v>
      </c>
      <c r="C88" s="9" t="s">
        <v>31</v>
      </c>
      <c r="D88" s="22">
        <v>42873</v>
      </c>
      <c r="E88" s="9">
        <v>1</v>
      </c>
      <c r="F88" s="9">
        <v>0</v>
      </c>
      <c r="G88" s="9">
        <v>1</v>
      </c>
      <c r="H88" s="9">
        <v>1</v>
      </c>
      <c r="I88" s="9">
        <v>0</v>
      </c>
      <c r="J88" s="9">
        <v>0</v>
      </c>
      <c r="K88" s="56">
        <v>42924</v>
      </c>
      <c r="L88" s="24">
        <v>370</v>
      </c>
    </row>
    <row r="89" spans="2:12" x14ac:dyDescent="0.2">
      <c r="B89" s="6" t="s">
        <v>131</v>
      </c>
      <c r="C89" s="9" t="s">
        <v>31</v>
      </c>
      <c r="D89" s="22">
        <v>42870</v>
      </c>
      <c r="E89" s="9">
        <v>1</v>
      </c>
      <c r="F89" s="9">
        <v>1</v>
      </c>
      <c r="G89" s="9">
        <v>0</v>
      </c>
      <c r="H89" s="9">
        <v>0</v>
      </c>
      <c r="I89" s="9">
        <v>0</v>
      </c>
      <c r="J89" s="9">
        <v>0</v>
      </c>
      <c r="K89" s="56">
        <v>42889</v>
      </c>
      <c r="L89" s="24">
        <v>369</v>
      </c>
    </row>
    <row r="90" spans="2:12" x14ac:dyDescent="0.2">
      <c r="B90" s="6" t="s">
        <v>363</v>
      </c>
      <c r="C90" s="9" t="s">
        <v>31</v>
      </c>
      <c r="D90" s="22">
        <v>42827</v>
      </c>
      <c r="E90" s="9">
        <v>1</v>
      </c>
      <c r="F90" s="9">
        <v>0</v>
      </c>
      <c r="G90" s="9">
        <v>1</v>
      </c>
      <c r="H90" s="9">
        <v>1</v>
      </c>
      <c r="I90" s="9">
        <v>0</v>
      </c>
      <c r="J90" s="9">
        <v>0</v>
      </c>
      <c r="K90" s="56">
        <v>42876</v>
      </c>
      <c r="L90" s="24">
        <v>369</v>
      </c>
    </row>
    <row r="91" spans="2:12" x14ac:dyDescent="0.2">
      <c r="B91" s="6" t="s">
        <v>746</v>
      </c>
      <c r="C91" s="9" t="s">
        <v>20</v>
      </c>
      <c r="D91" s="22">
        <v>42903</v>
      </c>
      <c r="E91" s="9">
        <v>1</v>
      </c>
      <c r="F91" s="9">
        <v>0</v>
      </c>
      <c r="G91" s="9">
        <v>1</v>
      </c>
      <c r="H91" s="9">
        <v>0</v>
      </c>
      <c r="I91" s="9">
        <v>1</v>
      </c>
      <c r="J91" s="9">
        <v>1</v>
      </c>
      <c r="K91" s="56">
        <v>42964</v>
      </c>
      <c r="L91" s="24">
        <v>368</v>
      </c>
    </row>
    <row r="92" spans="2:12" x14ac:dyDescent="0.2">
      <c r="B92" s="6" t="s">
        <v>536</v>
      </c>
      <c r="C92" s="9" t="s">
        <v>31</v>
      </c>
      <c r="D92" s="22">
        <v>42893</v>
      </c>
      <c r="E92" s="9">
        <v>1</v>
      </c>
      <c r="F92" s="9">
        <v>1</v>
      </c>
      <c r="G92" s="9">
        <v>0</v>
      </c>
      <c r="H92" s="9">
        <v>0</v>
      </c>
      <c r="I92" s="9">
        <v>0</v>
      </c>
      <c r="J92" s="9">
        <v>0</v>
      </c>
      <c r="K92" s="56">
        <v>42905</v>
      </c>
      <c r="L92" s="24">
        <v>367</v>
      </c>
    </row>
    <row r="93" spans="2:12" x14ac:dyDescent="0.2">
      <c r="B93" s="6" t="s">
        <v>970</v>
      </c>
      <c r="C93" s="9" t="s">
        <v>31</v>
      </c>
      <c r="D93" s="22">
        <v>42837</v>
      </c>
      <c r="E93" s="9">
        <v>1</v>
      </c>
      <c r="F93" s="9">
        <v>1</v>
      </c>
      <c r="G93" s="9">
        <v>0</v>
      </c>
      <c r="H93" s="9">
        <v>0</v>
      </c>
      <c r="I93" s="9">
        <v>0</v>
      </c>
      <c r="J93" s="9">
        <v>0</v>
      </c>
      <c r="K93" s="56">
        <v>42839</v>
      </c>
      <c r="L93" s="24">
        <v>365</v>
      </c>
    </row>
    <row r="94" spans="2:12" x14ac:dyDescent="0.2">
      <c r="B94" s="6" t="s">
        <v>192</v>
      </c>
      <c r="C94" s="9" t="s">
        <v>31</v>
      </c>
      <c r="D94" s="22">
        <v>42882</v>
      </c>
      <c r="E94" s="9">
        <v>1</v>
      </c>
      <c r="F94" s="9">
        <v>0</v>
      </c>
      <c r="G94" s="9">
        <v>1</v>
      </c>
      <c r="H94" s="9">
        <v>1</v>
      </c>
      <c r="I94" s="9">
        <v>0</v>
      </c>
      <c r="J94" s="9">
        <v>0</v>
      </c>
      <c r="K94" s="56">
        <v>42923</v>
      </c>
      <c r="L94" s="24">
        <v>363</v>
      </c>
    </row>
    <row r="95" spans="2:12" x14ac:dyDescent="0.2">
      <c r="B95" s="6" t="s">
        <v>555</v>
      </c>
      <c r="C95" s="9" t="s">
        <v>20</v>
      </c>
      <c r="D95" s="22">
        <v>42830</v>
      </c>
      <c r="E95" s="9">
        <v>1</v>
      </c>
      <c r="F95" s="9">
        <v>1</v>
      </c>
      <c r="G95" s="9">
        <v>0</v>
      </c>
      <c r="H95" s="9">
        <v>0</v>
      </c>
      <c r="I95" s="9">
        <v>0</v>
      </c>
      <c r="J95" s="9">
        <v>0</v>
      </c>
      <c r="K95" s="56">
        <v>42832</v>
      </c>
      <c r="L95" s="24">
        <v>363</v>
      </c>
    </row>
    <row r="96" spans="2:12" x14ac:dyDescent="0.2">
      <c r="B96" s="6" t="s">
        <v>376</v>
      </c>
      <c r="C96" s="9" t="s">
        <v>31</v>
      </c>
      <c r="D96" s="22">
        <v>42867</v>
      </c>
      <c r="E96" s="9">
        <v>1</v>
      </c>
      <c r="F96" s="9">
        <v>1</v>
      </c>
      <c r="G96" s="9">
        <v>0</v>
      </c>
      <c r="H96" s="9">
        <v>0</v>
      </c>
      <c r="I96" s="9">
        <v>0</v>
      </c>
      <c r="J96" s="9">
        <v>0</v>
      </c>
      <c r="K96" s="56">
        <v>42871</v>
      </c>
      <c r="L96" s="24">
        <v>363</v>
      </c>
    </row>
    <row r="97" spans="2:12" x14ac:dyDescent="0.2">
      <c r="B97" s="6" t="s">
        <v>150</v>
      </c>
      <c r="C97" s="9" t="s">
        <v>31</v>
      </c>
      <c r="D97" s="22">
        <v>42863</v>
      </c>
      <c r="E97" s="9">
        <v>1</v>
      </c>
      <c r="F97" s="9">
        <v>1</v>
      </c>
      <c r="G97" s="9">
        <v>0</v>
      </c>
      <c r="H97" s="9">
        <v>0</v>
      </c>
      <c r="I97" s="9">
        <v>0</v>
      </c>
      <c r="J97" s="9">
        <v>0</v>
      </c>
      <c r="K97" s="56">
        <v>42865</v>
      </c>
      <c r="L97" s="24">
        <v>363</v>
      </c>
    </row>
    <row r="98" spans="2:12" x14ac:dyDescent="0.2">
      <c r="B98" s="6" t="s">
        <v>109</v>
      </c>
      <c r="C98" s="9" t="s">
        <v>20</v>
      </c>
      <c r="D98" s="22">
        <v>42905</v>
      </c>
      <c r="E98" s="9">
        <v>1</v>
      </c>
      <c r="F98" s="9">
        <v>0</v>
      </c>
      <c r="G98" s="9">
        <v>1</v>
      </c>
      <c r="H98" s="9">
        <v>1</v>
      </c>
      <c r="I98" s="9">
        <v>0</v>
      </c>
      <c r="J98" s="9">
        <v>0</v>
      </c>
      <c r="K98" s="56">
        <v>42948</v>
      </c>
      <c r="L98" s="24">
        <v>363</v>
      </c>
    </row>
    <row r="99" spans="2:12" x14ac:dyDescent="0.2">
      <c r="B99" s="6" t="s">
        <v>473</v>
      </c>
      <c r="C99" s="9" t="s">
        <v>31</v>
      </c>
      <c r="D99" s="22">
        <v>42866</v>
      </c>
      <c r="E99" s="9">
        <v>1</v>
      </c>
      <c r="F99" s="9">
        <v>1</v>
      </c>
      <c r="G99" s="9">
        <v>0</v>
      </c>
      <c r="H99" s="9">
        <v>0</v>
      </c>
      <c r="I99" s="9">
        <v>0</v>
      </c>
      <c r="J99" s="9">
        <v>0</v>
      </c>
      <c r="K99" s="56">
        <v>42877</v>
      </c>
      <c r="L99" s="24">
        <v>360</v>
      </c>
    </row>
    <row r="100" spans="2:12" x14ac:dyDescent="0.2">
      <c r="B100" s="6" t="s">
        <v>231</v>
      </c>
      <c r="C100" s="9" t="s">
        <v>20</v>
      </c>
      <c r="D100" s="22">
        <v>42860</v>
      </c>
      <c r="E100" s="9">
        <v>1</v>
      </c>
      <c r="F100" s="9">
        <v>1</v>
      </c>
      <c r="G100" s="9">
        <v>0</v>
      </c>
      <c r="H100" s="9">
        <v>0</v>
      </c>
      <c r="I100" s="9">
        <v>0</v>
      </c>
      <c r="J100" s="9">
        <v>0</v>
      </c>
      <c r="K100" s="56">
        <v>42881</v>
      </c>
      <c r="L100" s="24">
        <v>359</v>
      </c>
    </row>
    <row r="101" spans="2:12" x14ac:dyDescent="0.2">
      <c r="B101" s="6" t="s">
        <v>533</v>
      </c>
      <c r="C101" s="9" t="s">
        <v>20</v>
      </c>
      <c r="D101" s="22">
        <v>42899</v>
      </c>
      <c r="E101" s="9">
        <v>1</v>
      </c>
      <c r="F101" s="9">
        <v>1</v>
      </c>
      <c r="G101" s="9">
        <v>0</v>
      </c>
      <c r="H101" s="9">
        <v>0</v>
      </c>
      <c r="I101" s="9">
        <v>0</v>
      </c>
      <c r="J101" s="9">
        <v>0</v>
      </c>
      <c r="K101" s="56">
        <v>42904</v>
      </c>
      <c r="L101" s="24">
        <v>359</v>
      </c>
    </row>
    <row r="102" spans="2:12" x14ac:dyDescent="0.2">
      <c r="B102" s="6" t="s">
        <v>672</v>
      </c>
      <c r="C102" s="9" t="s">
        <v>20</v>
      </c>
      <c r="D102" s="22">
        <v>42896</v>
      </c>
      <c r="E102" s="9">
        <v>1</v>
      </c>
      <c r="F102" s="9">
        <v>1</v>
      </c>
      <c r="G102" s="9">
        <v>0</v>
      </c>
      <c r="H102" s="9">
        <v>0</v>
      </c>
      <c r="I102" s="9">
        <v>0</v>
      </c>
      <c r="J102" s="9">
        <v>0</v>
      </c>
      <c r="K102" s="56">
        <v>42917</v>
      </c>
      <c r="L102" s="24">
        <v>359</v>
      </c>
    </row>
    <row r="103" spans="2:12" x14ac:dyDescent="0.2">
      <c r="B103" s="6" t="s">
        <v>733</v>
      </c>
      <c r="C103" s="9" t="s">
        <v>31</v>
      </c>
      <c r="D103" s="22">
        <v>42884</v>
      </c>
      <c r="E103" s="9">
        <v>1</v>
      </c>
      <c r="F103" s="9">
        <v>1</v>
      </c>
      <c r="G103" s="9">
        <v>0</v>
      </c>
      <c r="H103" s="9">
        <v>0</v>
      </c>
      <c r="I103" s="9">
        <v>0</v>
      </c>
      <c r="J103" s="9">
        <v>0</v>
      </c>
      <c r="K103" s="56">
        <v>42888</v>
      </c>
      <c r="L103" s="24">
        <v>359</v>
      </c>
    </row>
    <row r="104" spans="2:12" x14ac:dyDescent="0.2">
      <c r="B104" s="6" t="s">
        <v>540</v>
      </c>
      <c r="C104" s="9" t="s">
        <v>20</v>
      </c>
      <c r="D104" s="22">
        <v>42904</v>
      </c>
      <c r="E104" s="9">
        <v>1</v>
      </c>
      <c r="F104" s="9">
        <v>0</v>
      </c>
      <c r="G104" s="9">
        <v>1</v>
      </c>
      <c r="H104" s="9">
        <v>1</v>
      </c>
      <c r="I104" s="9">
        <v>0</v>
      </c>
      <c r="J104" s="9">
        <v>0</v>
      </c>
      <c r="K104" s="56">
        <v>42956</v>
      </c>
      <c r="L104" s="24">
        <v>359</v>
      </c>
    </row>
    <row r="105" spans="2:12" x14ac:dyDescent="0.2">
      <c r="B105" s="6" t="s">
        <v>145</v>
      </c>
      <c r="C105" s="9" t="s">
        <v>31</v>
      </c>
      <c r="D105" s="22">
        <v>42909</v>
      </c>
      <c r="E105" s="9">
        <v>1</v>
      </c>
      <c r="F105" s="9">
        <v>0</v>
      </c>
      <c r="G105" s="9">
        <v>1</v>
      </c>
      <c r="H105" s="9">
        <v>1</v>
      </c>
      <c r="I105" s="9">
        <v>0</v>
      </c>
      <c r="J105" s="9">
        <v>0</v>
      </c>
      <c r="K105" s="56">
        <v>42961</v>
      </c>
      <c r="L105" s="24">
        <v>359</v>
      </c>
    </row>
    <row r="106" spans="2:12" x14ac:dyDescent="0.2">
      <c r="B106" s="6" t="s">
        <v>484</v>
      </c>
      <c r="C106" s="9" t="s">
        <v>31</v>
      </c>
      <c r="D106" s="22">
        <v>42846</v>
      </c>
      <c r="E106" s="9">
        <v>1</v>
      </c>
      <c r="F106" s="9">
        <v>1</v>
      </c>
      <c r="G106" s="9">
        <v>0</v>
      </c>
      <c r="H106" s="9">
        <v>0</v>
      </c>
      <c r="I106" s="9">
        <v>0</v>
      </c>
      <c r="J106" s="9">
        <v>0</v>
      </c>
      <c r="K106" s="56">
        <v>42870</v>
      </c>
      <c r="L106" s="24">
        <v>357</v>
      </c>
    </row>
    <row r="107" spans="2:12" x14ac:dyDescent="0.2">
      <c r="B107" s="6" t="s">
        <v>730</v>
      </c>
      <c r="C107" s="9" t="s">
        <v>20</v>
      </c>
      <c r="D107" s="22">
        <v>42842</v>
      </c>
      <c r="E107" s="9">
        <v>1</v>
      </c>
      <c r="F107" s="9">
        <v>1</v>
      </c>
      <c r="G107" s="9">
        <v>0</v>
      </c>
      <c r="H107" s="9">
        <v>0</v>
      </c>
      <c r="I107" s="9">
        <v>0</v>
      </c>
      <c r="J107" s="9">
        <v>0</v>
      </c>
      <c r="K107" s="56">
        <v>42863</v>
      </c>
      <c r="L107" s="24">
        <v>356</v>
      </c>
    </row>
    <row r="108" spans="2:12" x14ac:dyDescent="0.2">
      <c r="B108" s="6" t="s">
        <v>479</v>
      </c>
      <c r="C108" s="9" t="s">
        <v>31</v>
      </c>
      <c r="D108" s="22">
        <v>42862</v>
      </c>
      <c r="E108" s="9">
        <v>1</v>
      </c>
      <c r="F108" s="9">
        <v>1</v>
      </c>
      <c r="G108" s="9">
        <v>0</v>
      </c>
      <c r="H108" s="9">
        <v>0</v>
      </c>
      <c r="I108" s="9">
        <v>0</v>
      </c>
      <c r="J108" s="9">
        <v>0</v>
      </c>
      <c r="K108" s="56">
        <v>42881</v>
      </c>
      <c r="L108" s="24">
        <v>356</v>
      </c>
    </row>
    <row r="109" spans="2:12" x14ac:dyDescent="0.2">
      <c r="B109" s="6" t="s">
        <v>62</v>
      </c>
      <c r="C109" s="9" t="s">
        <v>20</v>
      </c>
      <c r="D109" s="22">
        <v>42834</v>
      </c>
      <c r="E109" s="9">
        <v>1</v>
      </c>
      <c r="F109" s="9">
        <v>1</v>
      </c>
      <c r="G109" s="9">
        <v>0</v>
      </c>
      <c r="H109" s="9">
        <v>0</v>
      </c>
      <c r="I109" s="9">
        <v>0</v>
      </c>
      <c r="J109" s="9">
        <v>0</v>
      </c>
      <c r="K109" s="56">
        <v>42844</v>
      </c>
      <c r="L109" s="24">
        <v>355</v>
      </c>
    </row>
    <row r="110" spans="2:12" x14ac:dyDescent="0.2">
      <c r="B110" s="6" t="s">
        <v>105</v>
      </c>
      <c r="C110" s="9" t="s">
        <v>31</v>
      </c>
      <c r="D110" s="22">
        <v>42849</v>
      </c>
      <c r="E110" s="9">
        <v>1</v>
      </c>
      <c r="F110" s="9">
        <v>0</v>
      </c>
      <c r="G110" s="9">
        <v>1</v>
      </c>
      <c r="H110" s="9">
        <v>1</v>
      </c>
      <c r="I110" s="9">
        <v>0</v>
      </c>
      <c r="J110" s="9">
        <v>0</v>
      </c>
      <c r="K110" s="56">
        <v>42889</v>
      </c>
      <c r="L110" s="24">
        <v>354</v>
      </c>
    </row>
    <row r="111" spans="2:12" x14ac:dyDescent="0.2">
      <c r="B111" s="6" t="s">
        <v>971</v>
      </c>
      <c r="C111" s="9" t="s">
        <v>20</v>
      </c>
      <c r="D111" s="22">
        <v>42847</v>
      </c>
      <c r="E111" s="9">
        <v>1</v>
      </c>
      <c r="F111" s="9">
        <v>1</v>
      </c>
      <c r="G111" s="9">
        <v>0</v>
      </c>
      <c r="H111" s="9">
        <v>0</v>
      </c>
      <c r="I111" s="9">
        <v>0</v>
      </c>
      <c r="J111" s="9">
        <v>0</v>
      </c>
      <c r="K111" s="56">
        <v>42866</v>
      </c>
      <c r="L111" s="24">
        <v>353</v>
      </c>
    </row>
    <row r="112" spans="2:12" x14ac:dyDescent="0.2">
      <c r="B112" s="6" t="s">
        <v>724</v>
      </c>
      <c r="C112" s="9" t="s">
        <v>20</v>
      </c>
      <c r="D112" s="22">
        <v>42911</v>
      </c>
      <c r="E112" s="9">
        <v>1</v>
      </c>
      <c r="F112" s="9">
        <v>0</v>
      </c>
      <c r="G112" s="9">
        <v>1</v>
      </c>
      <c r="H112" s="9">
        <v>1</v>
      </c>
      <c r="I112" s="9">
        <v>0</v>
      </c>
      <c r="J112" s="9">
        <v>0</v>
      </c>
      <c r="K112" s="56">
        <v>42944</v>
      </c>
      <c r="L112" s="24">
        <v>353</v>
      </c>
    </row>
    <row r="113" spans="2:12" x14ac:dyDescent="0.2">
      <c r="B113" s="6" t="s">
        <v>163</v>
      </c>
      <c r="C113" s="9" t="s">
        <v>31</v>
      </c>
      <c r="D113" s="22">
        <v>42858</v>
      </c>
      <c r="E113" s="9">
        <v>1</v>
      </c>
      <c r="F113" s="9">
        <v>0</v>
      </c>
      <c r="G113" s="9">
        <v>1</v>
      </c>
      <c r="H113" s="9">
        <v>1</v>
      </c>
      <c r="I113" s="9">
        <v>0</v>
      </c>
      <c r="J113" s="9">
        <v>0</v>
      </c>
      <c r="K113" s="56">
        <v>42913</v>
      </c>
      <c r="L113" s="24">
        <v>352</v>
      </c>
    </row>
    <row r="114" spans="2:12" x14ac:dyDescent="0.2">
      <c r="B114" s="6" t="s">
        <v>182</v>
      </c>
      <c r="C114" s="9" t="s">
        <v>31</v>
      </c>
      <c r="D114" s="22">
        <v>42840</v>
      </c>
      <c r="E114" s="9">
        <v>1</v>
      </c>
      <c r="F114" s="9">
        <v>1</v>
      </c>
      <c r="G114" s="9">
        <v>0</v>
      </c>
      <c r="H114" s="9">
        <v>0</v>
      </c>
      <c r="I114" s="9">
        <v>0</v>
      </c>
      <c r="J114" s="9">
        <v>0</v>
      </c>
      <c r="K114" s="56">
        <v>42865</v>
      </c>
      <c r="L114" s="24">
        <v>350</v>
      </c>
    </row>
    <row r="115" spans="2:12" x14ac:dyDescent="0.2">
      <c r="B115" s="6" t="s">
        <v>141</v>
      </c>
      <c r="C115" s="9" t="s">
        <v>20</v>
      </c>
      <c r="D115" s="22">
        <v>42886</v>
      </c>
      <c r="E115" s="9">
        <v>1</v>
      </c>
      <c r="F115" s="9">
        <v>0</v>
      </c>
      <c r="G115" s="9">
        <v>1</v>
      </c>
      <c r="H115" s="9">
        <v>1</v>
      </c>
      <c r="I115" s="9">
        <v>0</v>
      </c>
      <c r="J115" s="9">
        <v>0</v>
      </c>
      <c r="K115" s="56">
        <v>42940</v>
      </c>
      <c r="L115" s="24">
        <v>350</v>
      </c>
    </row>
    <row r="116" spans="2:12" x14ac:dyDescent="0.2">
      <c r="B116" s="6" t="s">
        <v>543</v>
      </c>
      <c r="C116" s="9" t="s">
        <v>20</v>
      </c>
      <c r="D116" s="22">
        <v>42863</v>
      </c>
      <c r="E116" s="9">
        <v>1</v>
      </c>
      <c r="F116" s="9">
        <v>1</v>
      </c>
      <c r="G116" s="9">
        <v>0</v>
      </c>
      <c r="H116" s="9">
        <v>0</v>
      </c>
      <c r="I116" s="9">
        <v>0</v>
      </c>
      <c r="J116" s="9">
        <v>0</v>
      </c>
      <c r="K116" s="56">
        <v>42884</v>
      </c>
      <c r="L116" s="24">
        <v>350</v>
      </c>
    </row>
    <row r="117" spans="2:12" x14ac:dyDescent="0.2">
      <c r="B117" s="6" t="s">
        <v>587</v>
      </c>
      <c r="C117" s="9" t="s">
        <v>31</v>
      </c>
      <c r="D117" s="22">
        <v>42828</v>
      </c>
      <c r="E117" s="9">
        <v>1</v>
      </c>
      <c r="F117" s="9">
        <v>1</v>
      </c>
      <c r="G117" s="9">
        <v>0</v>
      </c>
      <c r="H117" s="9">
        <v>0</v>
      </c>
      <c r="I117" s="9">
        <v>0</v>
      </c>
      <c r="J117" s="9">
        <v>0</v>
      </c>
      <c r="K117" s="56">
        <v>42831</v>
      </c>
      <c r="L117" s="24">
        <v>349</v>
      </c>
    </row>
    <row r="118" spans="2:12" x14ac:dyDescent="0.2">
      <c r="B118" s="6" t="s">
        <v>224</v>
      </c>
      <c r="C118" s="9" t="s">
        <v>20</v>
      </c>
      <c r="D118" s="22">
        <v>42870</v>
      </c>
      <c r="E118" s="9">
        <v>1</v>
      </c>
      <c r="F118" s="9">
        <v>1</v>
      </c>
      <c r="G118" s="9">
        <v>0</v>
      </c>
      <c r="H118" s="9">
        <v>0</v>
      </c>
      <c r="I118" s="9">
        <v>0</v>
      </c>
      <c r="J118" s="9">
        <v>0</v>
      </c>
      <c r="K118" s="56">
        <v>42878</v>
      </c>
      <c r="L118" s="24">
        <v>347</v>
      </c>
    </row>
    <row r="119" spans="2:12" x14ac:dyDescent="0.2">
      <c r="B119" s="6" t="s">
        <v>683</v>
      </c>
      <c r="C119" s="9" t="s">
        <v>20</v>
      </c>
      <c r="D119" s="22">
        <v>42839</v>
      </c>
      <c r="E119" s="9">
        <v>1</v>
      </c>
      <c r="F119" s="9">
        <v>1</v>
      </c>
      <c r="G119" s="9">
        <v>0</v>
      </c>
      <c r="H119" s="9">
        <v>0</v>
      </c>
      <c r="I119" s="9">
        <v>0</v>
      </c>
      <c r="J119" s="9">
        <v>0</v>
      </c>
      <c r="K119" s="56">
        <v>42844</v>
      </c>
      <c r="L119" s="24">
        <v>347</v>
      </c>
    </row>
    <row r="120" spans="2:12" x14ac:dyDescent="0.2">
      <c r="B120" s="6" t="s">
        <v>54</v>
      </c>
      <c r="C120" s="9" t="s">
        <v>31</v>
      </c>
      <c r="D120" s="22">
        <v>42904</v>
      </c>
      <c r="E120" s="9">
        <v>1</v>
      </c>
      <c r="F120" s="9">
        <v>0</v>
      </c>
      <c r="G120" s="9">
        <v>1</v>
      </c>
      <c r="H120" s="9">
        <v>1</v>
      </c>
      <c r="I120" s="9">
        <v>0</v>
      </c>
      <c r="J120" s="9">
        <v>0</v>
      </c>
      <c r="K120" s="56">
        <v>42959</v>
      </c>
      <c r="L120" s="24">
        <v>347</v>
      </c>
    </row>
    <row r="121" spans="2:12" x14ac:dyDescent="0.2">
      <c r="B121" s="6" t="s">
        <v>106</v>
      </c>
      <c r="C121" s="9" t="s">
        <v>20</v>
      </c>
      <c r="D121" s="22">
        <v>42899</v>
      </c>
      <c r="E121" s="9">
        <v>1</v>
      </c>
      <c r="F121" s="9">
        <v>0</v>
      </c>
      <c r="G121" s="9">
        <v>1</v>
      </c>
      <c r="H121" s="9">
        <v>1</v>
      </c>
      <c r="I121" s="9">
        <v>0</v>
      </c>
      <c r="J121" s="9">
        <v>0</v>
      </c>
      <c r="K121" s="56">
        <v>42935</v>
      </c>
      <c r="L121" s="24">
        <v>347</v>
      </c>
    </row>
    <row r="122" spans="2:12" x14ac:dyDescent="0.2">
      <c r="B122" s="6" t="s">
        <v>777</v>
      </c>
      <c r="C122" s="9" t="s">
        <v>20</v>
      </c>
      <c r="D122" s="22">
        <v>42835</v>
      </c>
      <c r="E122" s="9">
        <v>1</v>
      </c>
      <c r="F122" s="9">
        <v>0</v>
      </c>
      <c r="G122" s="9">
        <v>1</v>
      </c>
      <c r="H122" s="9">
        <v>0</v>
      </c>
      <c r="I122" s="9">
        <v>1</v>
      </c>
      <c r="J122" s="9">
        <v>1</v>
      </c>
      <c r="K122" s="56">
        <v>42898</v>
      </c>
      <c r="L122" s="24">
        <v>347</v>
      </c>
    </row>
    <row r="123" spans="2:12" x14ac:dyDescent="0.2">
      <c r="B123" s="6" t="s">
        <v>219</v>
      </c>
      <c r="C123" s="9" t="s">
        <v>31</v>
      </c>
      <c r="D123" s="22">
        <v>42876</v>
      </c>
      <c r="E123" s="9">
        <v>1</v>
      </c>
      <c r="F123" s="9">
        <v>1</v>
      </c>
      <c r="G123" s="9">
        <v>0</v>
      </c>
      <c r="H123" s="9">
        <v>0</v>
      </c>
      <c r="I123" s="9">
        <v>0</v>
      </c>
      <c r="J123" s="9">
        <v>0</v>
      </c>
      <c r="K123" s="56">
        <v>42891</v>
      </c>
      <c r="L123" s="24">
        <v>347</v>
      </c>
    </row>
    <row r="124" spans="2:12" x14ac:dyDescent="0.2">
      <c r="B124" s="6" t="s">
        <v>164</v>
      </c>
      <c r="C124" s="9" t="s">
        <v>31</v>
      </c>
      <c r="D124" s="22">
        <v>42856</v>
      </c>
      <c r="E124" s="9">
        <v>1</v>
      </c>
      <c r="F124" s="9">
        <v>1</v>
      </c>
      <c r="G124" s="9">
        <v>0</v>
      </c>
      <c r="H124" s="9">
        <v>0</v>
      </c>
      <c r="I124" s="9">
        <v>0</v>
      </c>
      <c r="J124" s="9">
        <v>0</v>
      </c>
      <c r="K124" s="56">
        <v>42868</v>
      </c>
      <c r="L124" s="24">
        <v>346</v>
      </c>
    </row>
    <row r="125" spans="2:12" x14ac:dyDescent="0.2">
      <c r="B125" s="6" t="s">
        <v>418</v>
      </c>
      <c r="C125" s="9" t="s">
        <v>31</v>
      </c>
      <c r="D125" s="22">
        <v>42889</v>
      </c>
      <c r="E125" s="9">
        <v>1</v>
      </c>
      <c r="F125" s="9">
        <v>1</v>
      </c>
      <c r="G125" s="9">
        <v>0</v>
      </c>
      <c r="H125" s="9">
        <v>0</v>
      </c>
      <c r="I125" s="9">
        <v>0</v>
      </c>
      <c r="J125" s="9">
        <v>0</v>
      </c>
      <c r="K125" s="56">
        <v>42906</v>
      </c>
      <c r="L125" s="24">
        <v>345</v>
      </c>
    </row>
    <row r="126" spans="2:12" x14ac:dyDescent="0.2">
      <c r="B126" s="6" t="s">
        <v>677</v>
      </c>
      <c r="C126" s="9" t="s">
        <v>20</v>
      </c>
      <c r="D126" s="22">
        <v>42850</v>
      </c>
      <c r="E126" s="9">
        <v>1</v>
      </c>
      <c r="F126" s="9">
        <v>1</v>
      </c>
      <c r="G126" s="9">
        <v>0</v>
      </c>
      <c r="H126" s="9">
        <v>0</v>
      </c>
      <c r="I126" s="9">
        <v>0</v>
      </c>
      <c r="J126" s="9">
        <v>0</v>
      </c>
      <c r="K126" s="56">
        <v>42854</v>
      </c>
      <c r="L126" s="24">
        <v>344</v>
      </c>
    </row>
    <row r="127" spans="2:12" x14ac:dyDescent="0.2">
      <c r="B127" s="6" t="s">
        <v>414</v>
      </c>
      <c r="C127" s="9" t="s">
        <v>31</v>
      </c>
      <c r="D127" s="22">
        <v>42905</v>
      </c>
      <c r="E127" s="9">
        <v>1</v>
      </c>
      <c r="F127" s="9">
        <v>0</v>
      </c>
      <c r="G127" s="9">
        <v>1</v>
      </c>
      <c r="H127" s="9">
        <v>1</v>
      </c>
      <c r="I127" s="9">
        <v>0</v>
      </c>
      <c r="J127" s="9">
        <v>0</v>
      </c>
      <c r="K127" s="56">
        <v>42951</v>
      </c>
      <c r="L127" s="24">
        <v>343</v>
      </c>
    </row>
    <row r="128" spans="2:12" x14ac:dyDescent="0.2">
      <c r="B128" s="6" t="s">
        <v>320</v>
      </c>
      <c r="C128" s="9" t="s">
        <v>31</v>
      </c>
      <c r="D128" s="22">
        <v>42878</v>
      </c>
      <c r="E128" s="9">
        <v>1</v>
      </c>
      <c r="F128" s="9">
        <v>0</v>
      </c>
      <c r="G128" s="9">
        <v>1</v>
      </c>
      <c r="H128" s="9">
        <v>1</v>
      </c>
      <c r="I128" s="9">
        <v>0</v>
      </c>
      <c r="J128" s="9">
        <v>0</v>
      </c>
      <c r="K128" s="56">
        <v>42927</v>
      </c>
      <c r="L128" s="24">
        <v>343</v>
      </c>
    </row>
    <row r="129" spans="2:12" x14ac:dyDescent="0.2">
      <c r="B129" s="6" t="s">
        <v>765</v>
      </c>
      <c r="C129" s="9" t="s">
        <v>20</v>
      </c>
      <c r="D129" s="22">
        <v>42901</v>
      </c>
      <c r="E129" s="9">
        <v>1</v>
      </c>
      <c r="F129" s="9">
        <v>0</v>
      </c>
      <c r="G129" s="9">
        <v>1</v>
      </c>
      <c r="H129" s="9">
        <v>1</v>
      </c>
      <c r="I129" s="9">
        <v>0</v>
      </c>
      <c r="J129" s="9">
        <v>0</v>
      </c>
      <c r="K129" s="56">
        <v>42938</v>
      </c>
      <c r="L129" s="24">
        <v>343</v>
      </c>
    </row>
    <row r="130" spans="2:12" x14ac:dyDescent="0.2">
      <c r="B130" s="6" t="s">
        <v>659</v>
      </c>
      <c r="C130" s="9" t="s">
        <v>20</v>
      </c>
      <c r="D130" s="22">
        <v>42873</v>
      </c>
      <c r="E130" s="9">
        <v>1</v>
      </c>
      <c r="F130" s="9">
        <v>0</v>
      </c>
      <c r="G130" s="9">
        <v>1</v>
      </c>
      <c r="H130" s="9">
        <v>1</v>
      </c>
      <c r="I130" s="9">
        <v>0</v>
      </c>
      <c r="J130" s="9">
        <v>0</v>
      </c>
      <c r="K130" s="56">
        <v>42908</v>
      </c>
      <c r="L130" s="24">
        <v>343</v>
      </c>
    </row>
    <row r="131" spans="2:12" x14ac:dyDescent="0.2">
      <c r="B131" s="6" t="s">
        <v>66</v>
      </c>
      <c r="C131" s="9" t="s">
        <v>20</v>
      </c>
      <c r="D131" s="22">
        <v>42847</v>
      </c>
      <c r="E131" s="9">
        <v>1</v>
      </c>
      <c r="F131" s="9">
        <v>1</v>
      </c>
      <c r="G131" s="9">
        <v>0</v>
      </c>
      <c r="H131" s="9">
        <v>0</v>
      </c>
      <c r="I131" s="9">
        <v>0</v>
      </c>
      <c r="J131" s="9">
        <v>0</v>
      </c>
      <c r="K131" s="56">
        <v>42855</v>
      </c>
      <c r="L131" s="24">
        <v>340</v>
      </c>
    </row>
    <row r="132" spans="2:12" x14ac:dyDescent="0.2">
      <c r="B132" s="6" t="s">
        <v>140</v>
      </c>
      <c r="C132" s="9" t="s">
        <v>20</v>
      </c>
      <c r="D132" s="22">
        <v>42887</v>
      </c>
      <c r="E132" s="9">
        <v>1</v>
      </c>
      <c r="F132" s="9">
        <v>0</v>
      </c>
      <c r="G132" s="9">
        <v>1</v>
      </c>
      <c r="H132" s="9">
        <v>1</v>
      </c>
      <c r="I132" s="9">
        <v>0</v>
      </c>
      <c r="J132" s="9">
        <v>0</v>
      </c>
      <c r="K132" s="56">
        <v>42923</v>
      </c>
      <c r="L132" s="24">
        <v>338</v>
      </c>
    </row>
    <row r="133" spans="2:12" x14ac:dyDescent="0.2">
      <c r="B133" s="6" t="s">
        <v>318</v>
      </c>
      <c r="C133" s="9" t="s">
        <v>20</v>
      </c>
      <c r="D133" s="22">
        <v>42828</v>
      </c>
      <c r="E133" s="9">
        <v>1</v>
      </c>
      <c r="F133" s="9">
        <v>0</v>
      </c>
      <c r="G133" s="9">
        <v>1</v>
      </c>
      <c r="H133" s="9">
        <v>0</v>
      </c>
      <c r="I133" s="9">
        <v>1</v>
      </c>
      <c r="J133" s="9">
        <v>1</v>
      </c>
      <c r="K133" s="56">
        <v>42900</v>
      </c>
      <c r="L133" s="24">
        <v>338</v>
      </c>
    </row>
    <row r="134" spans="2:12" x14ac:dyDescent="0.2">
      <c r="B134" s="6" t="s">
        <v>254</v>
      </c>
      <c r="C134" s="9" t="s">
        <v>31</v>
      </c>
      <c r="D134" s="22">
        <v>42859</v>
      </c>
      <c r="E134" s="9">
        <v>1</v>
      </c>
      <c r="F134" s="9">
        <v>1</v>
      </c>
      <c r="G134" s="9">
        <v>0</v>
      </c>
      <c r="H134" s="9">
        <v>0</v>
      </c>
      <c r="I134" s="9">
        <v>0</v>
      </c>
      <c r="J134" s="9">
        <v>0</v>
      </c>
      <c r="K134" s="56">
        <v>42861</v>
      </c>
      <c r="L134" s="24">
        <v>337</v>
      </c>
    </row>
    <row r="135" spans="2:12" x14ac:dyDescent="0.2">
      <c r="B135" s="6" t="s">
        <v>386</v>
      </c>
      <c r="C135" s="9" t="s">
        <v>31</v>
      </c>
      <c r="D135" s="22">
        <v>42849</v>
      </c>
      <c r="E135" s="9">
        <v>1</v>
      </c>
      <c r="F135" s="9">
        <v>1</v>
      </c>
      <c r="G135" s="9">
        <v>0</v>
      </c>
      <c r="H135" s="9">
        <v>0</v>
      </c>
      <c r="I135" s="9">
        <v>0</v>
      </c>
      <c r="J135" s="9">
        <v>0</v>
      </c>
      <c r="K135" s="56">
        <v>42857</v>
      </c>
      <c r="L135" s="24">
        <v>337</v>
      </c>
    </row>
    <row r="136" spans="2:12" x14ac:dyDescent="0.2">
      <c r="B136" s="6" t="s">
        <v>311</v>
      </c>
      <c r="C136" s="9" t="s">
        <v>31</v>
      </c>
      <c r="D136" s="22">
        <v>42860</v>
      </c>
      <c r="E136" s="9">
        <v>1</v>
      </c>
      <c r="F136" s="9">
        <v>1</v>
      </c>
      <c r="G136" s="9">
        <v>0</v>
      </c>
      <c r="H136" s="9">
        <v>0</v>
      </c>
      <c r="I136" s="9">
        <v>0</v>
      </c>
      <c r="J136" s="9">
        <v>0</v>
      </c>
      <c r="K136" s="56">
        <v>42879</v>
      </c>
      <c r="L136" s="24">
        <v>336</v>
      </c>
    </row>
    <row r="137" spans="2:12" x14ac:dyDescent="0.2">
      <c r="B137" s="6" t="s">
        <v>300</v>
      </c>
      <c r="C137" s="9" t="s">
        <v>20</v>
      </c>
      <c r="D137" s="22">
        <v>42837</v>
      </c>
      <c r="E137" s="9">
        <v>1</v>
      </c>
      <c r="F137" s="9">
        <v>1</v>
      </c>
      <c r="G137" s="9">
        <v>0</v>
      </c>
      <c r="H137" s="9">
        <v>0</v>
      </c>
      <c r="I137" s="9">
        <v>0</v>
      </c>
      <c r="J137" s="9">
        <v>0</v>
      </c>
      <c r="K137" s="56">
        <v>42862</v>
      </c>
      <c r="L137" s="24">
        <v>336</v>
      </c>
    </row>
    <row r="138" spans="2:12" x14ac:dyDescent="0.2">
      <c r="B138" s="6" t="s">
        <v>88</v>
      </c>
      <c r="C138" s="9" t="s">
        <v>31</v>
      </c>
      <c r="D138" s="22">
        <v>42828</v>
      </c>
      <c r="E138" s="9">
        <v>1</v>
      </c>
      <c r="F138" s="9">
        <v>0</v>
      </c>
      <c r="G138" s="9">
        <v>1</v>
      </c>
      <c r="H138" s="9">
        <v>1</v>
      </c>
      <c r="I138" s="9">
        <v>0</v>
      </c>
      <c r="J138" s="9">
        <v>0</v>
      </c>
      <c r="K138" s="56">
        <v>42858</v>
      </c>
      <c r="L138" s="24">
        <v>336</v>
      </c>
    </row>
    <row r="139" spans="2:12" x14ac:dyDescent="0.2">
      <c r="B139" s="6" t="s">
        <v>301</v>
      </c>
      <c r="C139" s="9" t="s">
        <v>20</v>
      </c>
      <c r="D139" s="22">
        <v>42854</v>
      </c>
      <c r="E139" s="9">
        <v>1</v>
      </c>
      <c r="F139" s="9">
        <v>1</v>
      </c>
      <c r="G139" s="9">
        <v>0</v>
      </c>
      <c r="H139" s="9">
        <v>0</v>
      </c>
      <c r="I139" s="9">
        <v>0</v>
      </c>
      <c r="J139" s="9">
        <v>0</v>
      </c>
      <c r="K139" s="56">
        <v>42865</v>
      </c>
      <c r="L139" s="24">
        <v>335</v>
      </c>
    </row>
    <row r="140" spans="2:12" x14ac:dyDescent="0.2">
      <c r="B140" s="6" t="s">
        <v>167</v>
      </c>
      <c r="C140" s="9" t="s">
        <v>31</v>
      </c>
      <c r="D140" s="22">
        <v>42869</v>
      </c>
      <c r="E140" s="9">
        <v>1</v>
      </c>
      <c r="F140" s="9">
        <v>0</v>
      </c>
      <c r="G140" s="9">
        <v>1</v>
      </c>
      <c r="H140" s="9">
        <v>1</v>
      </c>
      <c r="I140" s="9">
        <v>0</v>
      </c>
      <c r="J140" s="9">
        <v>0</v>
      </c>
      <c r="K140" s="56">
        <v>42917</v>
      </c>
      <c r="L140" s="24">
        <v>335</v>
      </c>
    </row>
    <row r="141" spans="2:12" x14ac:dyDescent="0.2">
      <c r="B141" s="6" t="s">
        <v>542</v>
      </c>
      <c r="C141" s="9" t="s">
        <v>31</v>
      </c>
      <c r="D141" s="22">
        <v>42858</v>
      </c>
      <c r="E141" s="9">
        <v>1</v>
      </c>
      <c r="F141" s="9">
        <v>0</v>
      </c>
      <c r="G141" s="9">
        <v>1</v>
      </c>
      <c r="H141" s="9">
        <v>0</v>
      </c>
      <c r="I141" s="9">
        <v>1</v>
      </c>
      <c r="J141" s="9">
        <v>1</v>
      </c>
      <c r="K141" s="56">
        <v>42924</v>
      </c>
      <c r="L141" s="24">
        <v>335</v>
      </c>
    </row>
    <row r="142" spans="2:12" x14ac:dyDescent="0.2">
      <c r="B142" s="6" t="s">
        <v>570</v>
      </c>
      <c r="C142" s="9" t="s">
        <v>20</v>
      </c>
      <c r="D142" s="22">
        <v>42876</v>
      </c>
      <c r="E142" s="9">
        <v>1</v>
      </c>
      <c r="F142" s="9">
        <v>0</v>
      </c>
      <c r="G142" s="9">
        <v>1</v>
      </c>
      <c r="H142" s="9">
        <v>0</v>
      </c>
      <c r="I142" s="9">
        <v>1</v>
      </c>
      <c r="J142" s="9">
        <v>1</v>
      </c>
      <c r="K142" s="56">
        <v>42946</v>
      </c>
      <c r="L142" s="24">
        <v>335</v>
      </c>
    </row>
    <row r="143" spans="2:12" x14ac:dyDescent="0.2">
      <c r="B143" s="6" t="s">
        <v>226</v>
      </c>
      <c r="C143" s="9" t="s">
        <v>20</v>
      </c>
      <c r="D143" s="22">
        <v>42858</v>
      </c>
      <c r="E143" s="9">
        <v>1</v>
      </c>
      <c r="F143" s="9">
        <v>0</v>
      </c>
      <c r="G143" s="9">
        <v>1</v>
      </c>
      <c r="H143" s="9">
        <v>1</v>
      </c>
      <c r="I143" s="9">
        <v>0</v>
      </c>
      <c r="J143" s="9">
        <v>0</v>
      </c>
      <c r="K143" s="56">
        <v>42913</v>
      </c>
      <c r="L143" s="24">
        <v>334</v>
      </c>
    </row>
    <row r="144" spans="2:12" x14ac:dyDescent="0.2">
      <c r="B144" s="6" t="s">
        <v>764</v>
      </c>
      <c r="C144" s="9" t="s">
        <v>20</v>
      </c>
      <c r="D144" s="22">
        <v>42902</v>
      </c>
      <c r="E144" s="9">
        <v>1</v>
      </c>
      <c r="F144" s="9">
        <v>0</v>
      </c>
      <c r="G144" s="9">
        <v>1</v>
      </c>
      <c r="H144" s="9">
        <v>1</v>
      </c>
      <c r="I144" s="9">
        <v>0</v>
      </c>
      <c r="J144" s="9">
        <v>0</v>
      </c>
      <c r="K144" s="56">
        <v>42956</v>
      </c>
      <c r="L144" s="24">
        <v>334</v>
      </c>
    </row>
    <row r="145" spans="2:12" x14ac:dyDescent="0.2">
      <c r="B145" s="6" t="s">
        <v>257</v>
      </c>
      <c r="C145" s="9" t="s">
        <v>20</v>
      </c>
      <c r="D145" s="22">
        <v>42891</v>
      </c>
      <c r="E145" s="9">
        <v>1</v>
      </c>
      <c r="F145" s="9">
        <v>1</v>
      </c>
      <c r="G145" s="9">
        <v>0</v>
      </c>
      <c r="H145" s="9">
        <v>0</v>
      </c>
      <c r="I145" s="9">
        <v>0</v>
      </c>
      <c r="J145" s="9">
        <v>0</v>
      </c>
      <c r="K145" s="56">
        <v>42903</v>
      </c>
      <c r="L145" s="24">
        <v>333</v>
      </c>
    </row>
    <row r="146" spans="2:12" x14ac:dyDescent="0.2">
      <c r="B146" s="6" t="s">
        <v>438</v>
      </c>
      <c r="C146" s="9" t="s">
        <v>31</v>
      </c>
      <c r="D146" s="22">
        <v>42847</v>
      </c>
      <c r="E146" s="9">
        <v>1</v>
      </c>
      <c r="F146" s="9">
        <v>0</v>
      </c>
      <c r="G146" s="9">
        <v>1</v>
      </c>
      <c r="H146" s="9">
        <v>1</v>
      </c>
      <c r="I146" s="9">
        <v>0</v>
      </c>
      <c r="J146" s="9">
        <v>0</v>
      </c>
      <c r="K146" s="56">
        <v>42879</v>
      </c>
      <c r="L146" s="24">
        <v>333</v>
      </c>
    </row>
    <row r="147" spans="2:12" x14ac:dyDescent="0.2">
      <c r="B147" s="6" t="s">
        <v>129</v>
      </c>
      <c r="C147" s="9" t="s">
        <v>20</v>
      </c>
      <c r="D147" s="22">
        <v>42895</v>
      </c>
      <c r="E147" s="9">
        <v>1</v>
      </c>
      <c r="F147" s="9">
        <v>0</v>
      </c>
      <c r="G147" s="9">
        <v>1</v>
      </c>
      <c r="H147" s="9">
        <v>0</v>
      </c>
      <c r="I147" s="9">
        <v>1</v>
      </c>
      <c r="J147" s="9">
        <v>1</v>
      </c>
      <c r="K147" s="56">
        <v>42957</v>
      </c>
      <c r="L147" s="24">
        <v>333</v>
      </c>
    </row>
    <row r="148" spans="2:12" x14ac:dyDescent="0.2">
      <c r="B148" s="6" t="s">
        <v>456</v>
      </c>
      <c r="C148" s="9" t="s">
        <v>31</v>
      </c>
      <c r="D148" s="22">
        <v>42838</v>
      </c>
      <c r="E148" s="9">
        <v>1</v>
      </c>
      <c r="F148" s="9">
        <v>1</v>
      </c>
      <c r="G148" s="9">
        <v>0</v>
      </c>
      <c r="H148" s="9">
        <v>0</v>
      </c>
      <c r="I148" s="9">
        <v>0</v>
      </c>
      <c r="J148" s="9">
        <v>0</v>
      </c>
      <c r="K148" s="56">
        <v>42858</v>
      </c>
      <c r="L148" s="24">
        <v>333</v>
      </c>
    </row>
    <row r="149" spans="2:12" x14ac:dyDescent="0.2">
      <c r="B149" s="6" t="s">
        <v>681</v>
      </c>
      <c r="C149" s="9" t="s">
        <v>31</v>
      </c>
      <c r="D149" s="22">
        <v>42863</v>
      </c>
      <c r="E149" s="9">
        <v>1</v>
      </c>
      <c r="F149" s="9">
        <v>1</v>
      </c>
      <c r="G149" s="9">
        <v>0</v>
      </c>
      <c r="H149" s="9">
        <v>0</v>
      </c>
      <c r="I149" s="9">
        <v>0</v>
      </c>
      <c r="J149" s="9">
        <v>0</v>
      </c>
      <c r="K149" s="56">
        <v>42883</v>
      </c>
      <c r="L149" s="24">
        <v>333</v>
      </c>
    </row>
    <row r="150" spans="2:12" x14ac:dyDescent="0.2">
      <c r="B150" s="6" t="s">
        <v>539</v>
      </c>
      <c r="C150" s="9" t="s">
        <v>20</v>
      </c>
      <c r="D150" s="22">
        <v>42878</v>
      </c>
      <c r="E150" s="9">
        <v>1</v>
      </c>
      <c r="F150" s="9">
        <v>1</v>
      </c>
      <c r="G150" s="9">
        <v>0</v>
      </c>
      <c r="H150" s="9">
        <v>0</v>
      </c>
      <c r="I150" s="9">
        <v>0</v>
      </c>
      <c r="J150" s="9">
        <v>0</v>
      </c>
      <c r="K150" s="56">
        <v>42883</v>
      </c>
      <c r="L150" s="24">
        <v>333</v>
      </c>
    </row>
    <row r="151" spans="2:12" x14ac:dyDescent="0.2">
      <c r="B151" s="6" t="s">
        <v>410</v>
      </c>
      <c r="C151" s="9" t="s">
        <v>20</v>
      </c>
      <c r="D151" s="22">
        <v>42899</v>
      </c>
      <c r="E151" s="9">
        <v>1</v>
      </c>
      <c r="F151" s="9">
        <v>1</v>
      </c>
      <c r="G151" s="9">
        <v>0</v>
      </c>
      <c r="H151" s="9">
        <v>0</v>
      </c>
      <c r="I151" s="9">
        <v>0</v>
      </c>
      <c r="J151" s="9">
        <v>0</v>
      </c>
      <c r="K151" s="56">
        <v>42918</v>
      </c>
      <c r="L151" s="24">
        <v>332</v>
      </c>
    </row>
    <row r="152" spans="2:12" x14ac:dyDescent="0.2">
      <c r="B152" s="6" t="s">
        <v>80</v>
      </c>
      <c r="C152" s="9" t="s">
        <v>31</v>
      </c>
      <c r="D152" s="22">
        <v>42888</v>
      </c>
      <c r="E152" s="9">
        <v>1</v>
      </c>
      <c r="F152" s="9">
        <v>1</v>
      </c>
      <c r="G152" s="9">
        <v>0</v>
      </c>
      <c r="H152" s="9">
        <v>0</v>
      </c>
      <c r="I152" s="9">
        <v>0</v>
      </c>
      <c r="J152" s="9">
        <v>0</v>
      </c>
      <c r="K152" s="56">
        <v>42904</v>
      </c>
      <c r="L152" s="24">
        <v>332</v>
      </c>
    </row>
    <row r="153" spans="2:12" x14ac:dyDescent="0.2">
      <c r="B153" s="6" t="s">
        <v>668</v>
      </c>
      <c r="C153" s="9" t="s">
        <v>31</v>
      </c>
      <c r="D153" s="22">
        <v>42855</v>
      </c>
      <c r="E153" s="9">
        <v>1</v>
      </c>
      <c r="F153" s="9">
        <v>1</v>
      </c>
      <c r="G153" s="9">
        <v>0</v>
      </c>
      <c r="H153" s="9">
        <v>0</v>
      </c>
      <c r="I153" s="9">
        <v>0</v>
      </c>
      <c r="J153" s="9">
        <v>0</v>
      </c>
      <c r="K153" s="56">
        <v>42869</v>
      </c>
      <c r="L153" s="24">
        <v>332</v>
      </c>
    </row>
    <row r="154" spans="2:12" x14ac:dyDescent="0.2">
      <c r="B154" s="6" t="s">
        <v>618</v>
      </c>
      <c r="C154" s="9" t="s">
        <v>20</v>
      </c>
      <c r="D154" s="22">
        <v>42831</v>
      </c>
      <c r="E154" s="9">
        <v>1</v>
      </c>
      <c r="F154" s="9">
        <v>1</v>
      </c>
      <c r="G154" s="9">
        <v>0</v>
      </c>
      <c r="H154" s="9">
        <v>0</v>
      </c>
      <c r="I154" s="9">
        <v>0</v>
      </c>
      <c r="J154" s="9">
        <v>0</v>
      </c>
      <c r="K154" s="56">
        <v>42844</v>
      </c>
      <c r="L154" s="24">
        <v>330</v>
      </c>
    </row>
    <row r="155" spans="2:12" x14ac:dyDescent="0.2">
      <c r="B155" s="6" t="s">
        <v>162</v>
      </c>
      <c r="C155" s="9" t="s">
        <v>20</v>
      </c>
      <c r="D155" s="22">
        <v>42828</v>
      </c>
      <c r="E155" s="9">
        <v>1</v>
      </c>
      <c r="F155" s="9">
        <v>0</v>
      </c>
      <c r="G155" s="9">
        <v>1</v>
      </c>
      <c r="H155" s="9">
        <v>1</v>
      </c>
      <c r="I155" s="9">
        <v>0</v>
      </c>
      <c r="J155" s="9">
        <v>0</v>
      </c>
      <c r="K155" s="56">
        <v>42874</v>
      </c>
      <c r="L155" s="24">
        <v>330</v>
      </c>
    </row>
    <row r="156" spans="2:12" x14ac:dyDescent="0.2">
      <c r="B156" s="6" t="s">
        <v>451</v>
      </c>
      <c r="C156" s="9" t="s">
        <v>31</v>
      </c>
      <c r="D156" s="22">
        <v>42896</v>
      </c>
      <c r="E156" s="9">
        <v>1</v>
      </c>
      <c r="F156" s="9">
        <v>0</v>
      </c>
      <c r="G156" s="9">
        <v>1</v>
      </c>
      <c r="H156" s="9">
        <v>1</v>
      </c>
      <c r="I156" s="9">
        <v>0</v>
      </c>
      <c r="J156" s="9">
        <v>0</v>
      </c>
      <c r="K156" s="56">
        <v>42944</v>
      </c>
      <c r="L156" s="24">
        <v>329</v>
      </c>
    </row>
    <row r="157" spans="2:12" x14ac:dyDescent="0.2">
      <c r="B157" s="6" t="s">
        <v>229</v>
      </c>
      <c r="C157" s="9" t="s">
        <v>20</v>
      </c>
      <c r="D157" s="22">
        <v>42866</v>
      </c>
      <c r="E157" s="9">
        <v>1</v>
      </c>
      <c r="F157" s="9">
        <v>1</v>
      </c>
      <c r="G157" s="9">
        <v>0</v>
      </c>
      <c r="H157" s="9">
        <v>0</v>
      </c>
      <c r="I157" s="9">
        <v>0</v>
      </c>
      <c r="J157" s="9">
        <v>0</v>
      </c>
      <c r="K157" s="56">
        <v>42867</v>
      </c>
      <c r="L157" s="24">
        <v>327</v>
      </c>
    </row>
    <row r="158" spans="2:12" x14ac:dyDescent="0.2">
      <c r="B158" s="6" t="s">
        <v>519</v>
      </c>
      <c r="C158" s="9" t="s">
        <v>31</v>
      </c>
      <c r="D158" s="22">
        <v>42828</v>
      </c>
      <c r="E158" s="9">
        <v>1</v>
      </c>
      <c r="F158" s="9">
        <v>0</v>
      </c>
      <c r="G158" s="9">
        <v>1</v>
      </c>
      <c r="H158" s="9">
        <v>1</v>
      </c>
      <c r="I158" s="9">
        <v>0</v>
      </c>
      <c r="J158" s="9">
        <v>0</v>
      </c>
      <c r="K158" s="56">
        <v>42872</v>
      </c>
      <c r="L158" s="24">
        <v>326</v>
      </c>
    </row>
    <row r="159" spans="2:12" x14ac:dyDescent="0.2">
      <c r="B159" s="6" t="s">
        <v>261</v>
      </c>
      <c r="C159" s="9" t="s">
        <v>31</v>
      </c>
      <c r="D159" s="22">
        <v>42841</v>
      </c>
      <c r="E159" s="9">
        <v>1</v>
      </c>
      <c r="F159" s="9">
        <v>1</v>
      </c>
      <c r="G159" s="9">
        <v>0</v>
      </c>
      <c r="H159" s="9">
        <v>0</v>
      </c>
      <c r="I159" s="9">
        <v>0</v>
      </c>
      <c r="J159" s="9">
        <v>0</v>
      </c>
      <c r="K159" s="56">
        <v>42859</v>
      </c>
      <c r="L159" s="24">
        <v>325</v>
      </c>
    </row>
    <row r="160" spans="2:12" x14ac:dyDescent="0.2">
      <c r="B160" s="6" t="s">
        <v>97</v>
      </c>
      <c r="C160" s="9" t="s">
        <v>31</v>
      </c>
      <c r="D160" s="22">
        <v>42891</v>
      </c>
      <c r="E160" s="9">
        <v>1</v>
      </c>
      <c r="F160" s="9">
        <v>1</v>
      </c>
      <c r="G160" s="9">
        <v>0</v>
      </c>
      <c r="H160" s="9">
        <v>0</v>
      </c>
      <c r="I160" s="9">
        <v>0</v>
      </c>
      <c r="J160" s="9">
        <v>0</v>
      </c>
      <c r="K160" s="56">
        <v>42908</v>
      </c>
      <c r="L160" s="24">
        <v>325</v>
      </c>
    </row>
    <row r="161" spans="2:12" x14ac:dyDescent="0.2">
      <c r="B161" s="6" t="s">
        <v>166</v>
      </c>
      <c r="C161" s="9" t="s">
        <v>20</v>
      </c>
      <c r="D161" s="22">
        <v>42898</v>
      </c>
      <c r="E161" s="9">
        <v>1</v>
      </c>
      <c r="F161" s="9">
        <v>1</v>
      </c>
      <c r="G161" s="9">
        <v>0</v>
      </c>
      <c r="H161" s="9">
        <v>0</v>
      </c>
      <c r="I161" s="9">
        <v>0</v>
      </c>
      <c r="J161" s="9">
        <v>0</v>
      </c>
      <c r="K161" s="56">
        <v>42910</v>
      </c>
      <c r="L161" s="24">
        <v>324</v>
      </c>
    </row>
    <row r="162" spans="2:12" x14ac:dyDescent="0.2">
      <c r="B162" s="6" t="s">
        <v>392</v>
      </c>
      <c r="C162" s="9" t="s">
        <v>31</v>
      </c>
      <c r="D162" s="22">
        <v>42844</v>
      </c>
      <c r="E162" s="9">
        <v>1</v>
      </c>
      <c r="F162" s="9">
        <v>0</v>
      </c>
      <c r="G162" s="9">
        <v>1</v>
      </c>
      <c r="H162" s="9">
        <v>1</v>
      </c>
      <c r="I162" s="9">
        <v>0</v>
      </c>
      <c r="J162" s="9">
        <v>0</v>
      </c>
      <c r="K162" s="56">
        <v>42889</v>
      </c>
      <c r="L162" s="24">
        <v>324</v>
      </c>
    </row>
    <row r="163" spans="2:12" x14ac:dyDescent="0.2">
      <c r="B163" s="6" t="s">
        <v>561</v>
      </c>
      <c r="C163" s="9" t="s">
        <v>31</v>
      </c>
      <c r="D163" s="22">
        <v>42829</v>
      </c>
      <c r="E163" s="9">
        <v>1</v>
      </c>
      <c r="F163" s="9">
        <v>0</v>
      </c>
      <c r="G163" s="9">
        <v>1</v>
      </c>
      <c r="H163" s="9">
        <v>1</v>
      </c>
      <c r="I163" s="9">
        <v>0</v>
      </c>
      <c r="J163" s="9">
        <v>0</v>
      </c>
      <c r="K163" s="56">
        <v>42863</v>
      </c>
      <c r="L163" s="24">
        <v>323</v>
      </c>
    </row>
    <row r="164" spans="2:12" x14ac:dyDescent="0.2">
      <c r="B164" s="6" t="s">
        <v>674</v>
      </c>
      <c r="C164" s="9" t="s">
        <v>20</v>
      </c>
      <c r="D164" s="22">
        <v>42845</v>
      </c>
      <c r="E164" s="9">
        <v>1</v>
      </c>
      <c r="F164" s="9">
        <v>1</v>
      </c>
      <c r="G164" s="9">
        <v>0</v>
      </c>
      <c r="H164" s="9">
        <v>0</v>
      </c>
      <c r="I164" s="9">
        <v>0</v>
      </c>
      <c r="J164" s="9">
        <v>0</v>
      </c>
      <c r="K164" s="56">
        <v>42850</v>
      </c>
      <c r="L164" s="24">
        <v>323</v>
      </c>
    </row>
    <row r="165" spans="2:12" x14ac:dyDescent="0.2">
      <c r="B165" s="6" t="s">
        <v>501</v>
      </c>
      <c r="C165" s="9" t="s">
        <v>20</v>
      </c>
      <c r="D165" s="22">
        <v>42832</v>
      </c>
      <c r="E165" s="9">
        <v>1</v>
      </c>
      <c r="F165" s="9">
        <v>1</v>
      </c>
      <c r="G165" s="9">
        <v>0</v>
      </c>
      <c r="H165" s="9">
        <v>0</v>
      </c>
      <c r="I165" s="9">
        <v>0</v>
      </c>
      <c r="J165" s="9">
        <v>0</v>
      </c>
      <c r="K165" s="56">
        <v>42833</v>
      </c>
      <c r="L165" s="24">
        <v>323</v>
      </c>
    </row>
    <row r="166" spans="2:12" x14ac:dyDescent="0.2">
      <c r="B166" s="6" t="s">
        <v>208</v>
      </c>
      <c r="C166" s="9" t="s">
        <v>31</v>
      </c>
      <c r="D166" s="22">
        <v>42889</v>
      </c>
      <c r="E166" s="9">
        <v>1</v>
      </c>
      <c r="F166" s="9">
        <v>1</v>
      </c>
      <c r="G166" s="9">
        <v>0</v>
      </c>
      <c r="H166" s="9">
        <v>0</v>
      </c>
      <c r="I166" s="9">
        <v>0</v>
      </c>
      <c r="J166" s="9">
        <v>0</v>
      </c>
      <c r="K166" s="56">
        <v>42891</v>
      </c>
      <c r="L166" s="24">
        <v>322</v>
      </c>
    </row>
    <row r="167" spans="2:12" x14ac:dyDescent="0.2">
      <c r="B167" s="6" t="s">
        <v>600</v>
      </c>
      <c r="C167" s="9" t="s">
        <v>20</v>
      </c>
      <c r="D167" s="22">
        <v>42879</v>
      </c>
      <c r="E167" s="9">
        <v>1</v>
      </c>
      <c r="F167" s="9">
        <v>1</v>
      </c>
      <c r="G167" s="9">
        <v>0</v>
      </c>
      <c r="H167" s="9">
        <v>0</v>
      </c>
      <c r="I167" s="9">
        <v>0</v>
      </c>
      <c r="J167" s="9">
        <v>0</v>
      </c>
      <c r="K167" s="56">
        <v>42883</v>
      </c>
      <c r="L167" s="24">
        <v>322</v>
      </c>
    </row>
    <row r="168" spans="2:12" x14ac:dyDescent="0.2">
      <c r="B168" s="6" t="s">
        <v>623</v>
      </c>
      <c r="C168" s="9" t="s">
        <v>20</v>
      </c>
      <c r="D168" s="22">
        <v>42890</v>
      </c>
      <c r="E168" s="9">
        <v>1</v>
      </c>
      <c r="F168" s="9">
        <v>1</v>
      </c>
      <c r="G168" s="9">
        <v>0</v>
      </c>
      <c r="H168" s="9">
        <v>0</v>
      </c>
      <c r="I168" s="9">
        <v>0</v>
      </c>
      <c r="J168" s="9">
        <v>0</v>
      </c>
      <c r="K168" s="56">
        <v>42893</v>
      </c>
      <c r="L168" s="24">
        <v>320</v>
      </c>
    </row>
    <row r="169" spans="2:12" x14ac:dyDescent="0.2">
      <c r="B169" s="6" t="s">
        <v>447</v>
      </c>
      <c r="C169" s="9" t="s">
        <v>20</v>
      </c>
      <c r="D169" s="22">
        <v>42901</v>
      </c>
      <c r="E169" s="9">
        <v>1</v>
      </c>
      <c r="F169" s="9">
        <v>0</v>
      </c>
      <c r="G169" s="9">
        <v>1</v>
      </c>
      <c r="H169" s="9">
        <v>1</v>
      </c>
      <c r="I169" s="9">
        <v>0</v>
      </c>
      <c r="J169" s="9">
        <v>0</v>
      </c>
      <c r="K169" s="56">
        <v>42939</v>
      </c>
      <c r="L169" s="24">
        <v>320</v>
      </c>
    </row>
    <row r="170" spans="2:12" x14ac:dyDescent="0.2">
      <c r="B170" s="6" t="s">
        <v>203</v>
      </c>
      <c r="C170" s="9" t="s">
        <v>20</v>
      </c>
      <c r="D170" s="22">
        <v>42845</v>
      </c>
      <c r="E170" s="9">
        <v>1</v>
      </c>
      <c r="F170" s="9">
        <v>0</v>
      </c>
      <c r="G170" s="9">
        <v>1</v>
      </c>
      <c r="H170" s="9">
        <v>0</v>
      </c>
      <c r="I170" s="9">
        <v>1</v>
      </c>
      <c r="J170" s="9">
        <v>1</v>
      </c>
      <c r="K170" s="56">
        <v>42909</v>
      </c>
      <c r="L170" s="24">
        <v>308</v>
      </c>
    </row>
    <row r="171" spans="2:12" x14ac:dyDescent="0.2">
      <c r="B171" s="6" t="s">
        <v>642</v>
      </c>
      <c r="C171" s="9" t="s">
        <v>20</v>
      </c>
      <c r="D171" s="22">
        <v>42901</v>
      </c>
      <c r="E171" s="9">
        <v>1</v>
      </c>
      <c r="F171" s="9">
        <v>1</v>
      </c>
      <c r="G171" s="9">
        <v>0</v>
      </c>
      <c r="H171" s="9">
        <v>0</v>
      </c>
      <c r="I171" s="9">
        <v>0</v>
      </c>
      <c r="J171" s="9">
        <v>0</v>
      </c>
      <c r="K171" s="56">
        <v>42903</v>
      </c>
      <c r="L171" s="24">
        <v>307</v>
      </c>
    </row>
    <row r="172" spans="2:12" x14ac:dyDescent="0.2">
      <c r="B172" s="6" t="s">
        <v>585</v>
      </c>
      <c r="C172" s="9" t="s">
        <v>31</v>
      </c>
      <c r="D172" s="22">
        <v>42842</v>
      </c>
      <c r="E172" s="9">
        <v>1</v>
      </c>
      <c r="F172" s="9">
        <v>0</v>
      </c>
      <c r="G172" s="9">
        <v>1</v>
      </c>
      <c r="H172" s="9">
        <v>0</v>
      </c>
      <c r="I172" s="9">
        <v>1</v>
      </c>
      <c r="J172" s="9">
        <v>1</v>
      </c>
      <c r="K172" s="56">
        <v>42912</v>
      </c>
      <c r="L172" s="24">
        <v>307</v>
      </c>
    </row>
    <row r="173" spans="2:12" x14ac:dyDescent="0.2">
      <c r="B173" s="6" t="s">
        <v>481</v>
      </c>
      <c r="C173" s="9" t="s">
        <v>20</v>
      </c>
      <c r="D173" s="22">
        <v>42899</v>
      </c>
      <c r="E173" s="9">
        <v>1</v>
      </c>
      <c r="F173" s="9">
        <v>1</v>
      </c>
      <c r="G173" s="9">
        <v>0</v>
      </c>
      <c r="H173" s="9">
        <v>0</v>
      </c>
      <c r="I173" s="9">
        <v>0</v>
      </c>
      <c r="J173" s="9">
        <v>0</v>
      </c>
      <c r="K173" s="56">
        <v>42917</v>
      </c>
      <c r="L173" s="24">
        <v>306</v>
      </c>
    </row>
    <row r="174" spans="2:12" x14ac:dyDescent="0.2">
      <c r="B174" s="6" t="s">
        <v>89</v>
      </c>
      <c r="C174" s="9" t="s">
        <v>31</v>
      </c>
      <c r="D174" s="22">
        <v>42863</v>
      </c>
      <c r="E174" s="9">
        <v>1</v>
      </c>
      <c r="F174" s="9">
        <v>1</v>
      </c>
      <c r="G174" s="9">
        <v>0</v>
      </c>
      <c r="H174" s="9">
        <v>0</v>
      </c>
      <c r="I174" s="9">
        <v>0</v>
      </c>
      <c r="J174" s="9">
        <v>0</v>
      </c>
      <c r="K174" s="56">
        <v>42879</v>
      </c>
      <c r="L174" s="24">
        <v>303</v>
      </c>
    </row>
    <row r="175" spans="2:12" x14ac:dyDescent="0.2">
      <c r="B175" s="6" t="s">
        <v>48</v>
      </c>
      <c r="C175" s="9" t="s">
        <v>20</v>
      </c>
      <c r="D175" s="22">
        <v>42850</v>
      </c>
      <c r="E175" s="9">
        <v>1</v>
      </c>
      <c r="F175" s="9">
        <v>1</v>
      </c>
      <c r="G175" s="9">
        <v>0</v>
      </c>
      <c r="H175" s="9">
        <v>0</v>
      </c>
      <c r="I175" s="9">
        <v>0</v>
      </c>
      <c r="J175" s="9">
        <v>0</v>
      </c>
      <c r="K175" s="56">
        <v>42873</v>
      </c>
      <c r="L175" s="24">
        <v>303</v>
      </c>
    </row>
    <row r="176" spans="2:12" x14ac:dyDescent="0.2">
      <c r="B176" s="6" t="s">
        <v>243</v>
      </c>
      <c r="C176" s="9" t="s">
        <v>20</v>
      </c>
      <c r="D176" s="22">
        <v>42892</v>
      </c>
      <c r="E176" s="9">
        <v>1</v>
      </c>
      <c r="F176" s="9">
        <v>1</v>
      </c>
      <c r="G176" s="9">
        <v>0</v>
      </c>
      <c r="H176" s="9">
        <v>0</v>
      </c>
      <c r="I176" s="9">
        <v>0</v>
      </c>
      <c r="J176" s="9">
        <v>0</v>
      </c>
      <c r="K176" s="56">
        <v>42908</v>
      </c>
      <c r="L176" s="24">
        <v>302</v>
      </c>
    </row>
    <row r="177" spans="2:12" x14ac:dyDescent="0.2">
      <c r="B177" s="6" t="s">
        <v>578</v>
      </c>
      <c r="C177" s="9" t="s">
        <v>20</v>
      </c>
      <c r="D177" s="22">
        <v>42872</v>
      </c>
      <c r="E177" s="9">
        <v>1</v>
      </c>
      <c r="F177" s="9">
        <v>0</v>
      </c>
      <c r="G177" s="9">
        <v>1</v>
      </c>
      <c r="H177" s="9">
        <v>0</v>
      </c>
      <c r="I177" s="9">
        <v>1</v>
      </c>
      <c r="J177" s="9">
        <v>1</v>
      </c>
      <c r="K177" s="56">
        <v>42935</v>
      </c>
      <c r="L177" s="24">
        <v>302</v>
      </c>
    </row>
    <row r="178" spans="2:12" x14ac:dyDescent="0.2">
      <c r="B178" s="6" t="s">
        <v>264</v>
      </c>
      <c r="C178" s="9" t="s">
        <v>20</v>
      </c>
      <c r="D178" s="22">
        <v>42837</v>
      </c>
      <c r="E178" s="9">
        <v>1</v>
      </c>
      <c r="F178" s="9">
        <v>0</v>
      </c>
      <c r="G178" s="9">
        <v>1</v>
      </c>
      <c r="H178" s="9">
        <v>1</v>
      </c>
      <c r="I178" s="9">
        <v>0</v>
      </c>
      <c r="J178" s="9">
        <v>0</v>
      </c>
      <c r="K178" s="56">
        <v>42877</v>
      </c>
      <c r="L178" s="24">
        <v>300</v>
      </c>
    </row>
    <row r="179" spans="2:12" x14ac:dyDescent="0.2">
      <c r="B179" s="6" t="s">
        <v>718</v>
      </c>
      <c r="C179" s="9" t="s">
        <v>20</v>
      </c>
      <c r="D179" s="22">
        <v>42916</v>
      </c>
      <c r="E179" s="9">
        <v>1</v>
      </c>
      <c r="F179" s="9">
        <v>0</v>
      </c>
      <c r="G179" s="9">
        <v>1</v>
      </c>
      <c r="H179" s="9">
        <v>0</v>
      </c>
      <c r="I179" s="9">
        <v>1</v>
      </c>
      <c r="J179" s="9">
        <v>1</v>
      </c>
      <c r="K179" s="56">
        <v>42978</v>
      </c>
      <c r="L179" s="24">
        <v>299</v>
      </c>
    </row>
    <row r="180" spans="2:12" x14ac:dyDescent="0.2">
      <c r="B180" s="6" t="s">
        <v>704</v>
      </c>
      <c r="C180" s="9" t="s">
        <v>31</v>
      </c>
      <c r="D180" s="22">
        <v>42860</v>
      </c>
      <c r="E180" s="9">
        <v>1</v>
      </c>
      <c r="F180" s="9">
        <v>0</v>
      </c>
      <c r="G180" s="9">
        <v>1</v>
      </c>
      <c r="H180" s="9">
        <v>1</v>
      </c>
      <c r="I180" s="9">
        <v>0</v>
      </c>
      <c r="J180" s="9">
        <v>0</v>
      </c>
      <c r="K180" s="56">
        <v>42895</v>
      </c>
      <c r="L180" s="24">
        <v>298</v>
      </c>
    </row>
    <row r="181" spans="2:12" x14ac:dyDescent="0.2">
      <c r="B181" s="6" t="s">
        <v>119</v>
      </c>
      <c r="C181" s="9" t="s">
        <v>31</v>
      </c>
      <c r="D181" s="22">
        <v>42914</v>
      </c>
      <c r="E181" s="9">
        <v>1</v>
      </c>
      <c r="F181" s="9">
        <v>0</v>
      </c>
      <c r="G181" s="9">
        <v>1</v>
      </c>
      <c r="H181" s="9">
        <v>1</v>
      </c>
      <c r="I181" s="9">
        <v>0</v>
      </c>
      <c r="J181" s="9">
        <v>0</v>
      </c>
      <c r="K181" s="56">
        <v>42966</v>
      </c>
      <c r="L181" s="24">
        <v>298</v>
      </c>
    </row>
    <row r="182" spans="2:12" x14ac:dyDescent="0.2">
      <c r="B182" s="6" t="s">
        <v>228</v>
      </c>
      <c r="C182" s="9" t="s">
        <v>20</v>
      </c>
      <c r="D182" s="22">
        <v>42891</v>
      </c>
      <c r="E182" s="9">
        <v>1</v>
      </c>
      <c r="F182" s="9">
        <v>0</v>
      </c>
      <c r="G182" s="9">
        <v>1</v>
      </c>
      <c r="H182" s="9">
        <v>1</v>
      </c>
      <c r="I182" s="9">
        <v>0</v>
      </c>
      <c r="J182" s="9">
        <v>0</v>
      </c>
      <c r="K182" s="56">
        <v>42945</v>
      </c>
      <c r="L182" s="24">
        <v>298</v>
      </c>
    </row>
    <row r="183" spans="2:12" x14ac:dyDescent="0.2">
      <c r="B183" s="6" t="s">
        <v>118</v>
      </c>
      <c r="C183" s="9" t="s">
        <v>20</v>
      </c>
      <c r="D183" s="22">
        <v>42882</v>
      </c>
      <c r="E183" s="9">
        <v>1</v>
      </c>
      <c r="F183" s="9">
        <v>0</v>
      </c>
      <c r="G183" s="9">
        <v>1</v>
      </c>
      <c r="H183" s="9">
        <v>0</v>
      </c>
      <c r="I183" s="9">
        <v>1</v>
      </c>
      <c r="J183" s="9">
        <v>1</v>
      </c>
      <c r="K183" s="56">
        <v>42952</v>
      </c>
      <c r="L183" s="24">
        <v>298</v>
      </c>
    </row>
    <row r="184" spans="2:12" x14ac:dyDescent="0.2">
      <c r="B184" s="6" t="s">
        <v>580</v>
      </c>
      <c r="C184" s="9" t="s">
        <v>31</v>
      </c>
      <c r="D184" s="22">
        <v>42854</v>
      </c>
      <c r="E184" s="9">
        <v>1</v>
      </c>
      <c r="F184" s="9">
        <v>1</v>
      </c>
      <c r="G184" s="9">
        <v>0</v>
      </c>
      <c r="H184" s="9">
        <v>0</v>
      </c>
      <c r="I184" s="9">
        <v>0</v>
      </c>
      <c r="J184" s="9">
        <v>0</v>
      </c>
      <c r="K184" s="56">
        <v>42858</v>
      </c>
      <c r="L184" s="24">
        <v>297</v>
      </c>
    </row>
    <row r="185" spans="2:12" x14ac:dyDescent="0.2">
      <c r="B185" s="6" t="s">
        <v>640</v>
      </c>
      <c r="C185" s="9" t="s">
        <v>31</v>
      </c>
      <c r="D185" s="22">
        <v>42852</v>
      </c>
      <c r="E185" s="9">
        <v>1</v>
      </c>
      <c r="F185" s="9">
        <v>1</v>
      </c>
      <c r="G185" s="9">
        <v>0</v>
      </c>
      <c r="H185" s="9">
        <v>0</v>
      </c>
      <c r="I185" s="9">
        <v>0</v>
      </c>
      <c r="J185" s="9">
        <v>0</v>
      </c>
      <c r="K185" s="56">
        <v>42869</v>
      </c>
      <c r="L185" s="24">
        <v>297</v>
      </c>
    </row>
    <row r="186" spans="2:12" x14ac:dyDescent="0.2">
      <c r="B186" s="6" t="s">
        <v>436</v>
      </c>
      <c r="C186" s="9" t="s">
        <v>31</v>
      </c>
      <c r="D186" s="22">
        <v>42896</v>
      </c>
      <c r="E186" s="9">
        <v>1</v>
      </c>
      <c r="F186" s="9">
        <v>0</v>
      </c>
      <c r="G186" s="9">
        <v>1</v>
      </c>
      <c r="H186" s="9">
        <v>1</v>
      </c>
      <c r="I186" s="9">
        <v>0</v>
      </c>
      <c r="J186" s="9">
        <v>0</v>
      </c>
      <c r="K186" s="56">
        <v>42949</v>
      </c>
      <c r="L186" s="24">
        <v>297</v>
      </c>
    </row>
    <row r="187" spans="2:12" x14ac:dyDescent="0.2">
      <c r="B187" s="6" t="s">
        <v>188</v>
      </c>
      <c r="C187" s="9" t="s">
        <v>20</v>
      </c>
      <c r="D187" s="22">
        <v>42836</v>
      </c>
      <c r="E187" s="9">
        <v>1</v>
      </c>
      <c r="F187" s="9">
        <v>1</v>
      </c>
      <c r="G187" s="9">
        <v>0</v>
      </c>
      <c r="H187" s="9">
        <v>0</v>
      </c>
      <c r="I187" s="9">
        <v>0</v>
      </c>
      <c r="J187" s="9">
        <v>0</v>
      </c>
      <c r="K187" s="56">
        <v>42839</v>
      </c>
      <c r="L187" s="24">
        <v>295</v>
      </c>
    </row>
    <row r="188" spans="2:12" x14ac:dyDescent="0.2">
      <c r="B188" s="6" t="s">
        <v>116</v>
      </c>
      <c r="C188" s="9" t="s">
        <v>20</v>
      </c>
      <c r="D188" s="22">
        <v>42848</v>
      </c>
      <c r="E188" s="9">
        <v>1</v>
      </c>
      <c r="F188" s="9">
        <v>0</v>
      </c>
      <c r="G188" s="9">
        <v>1</v>
      </c>
      <c r="H188" s="9">
        <v>1</v>
      </c>
      <c r="I188" s="9">
        <v>0</v>
      </c>
      <c r="J188" s="9">
        <v>0</v>
      </c>
      <c r="K188" s="56">
        <v>42889</v>
      </c>
      <c r="L188" s="24">
        <v>295</v>
      </c>
    </row>
    <row r="189" spans="2:12" x14ac:dyDescent="0.2">
      <c r="B189" s="6" t="s">
        <v>202</v>
      </c>
      <c r="C189" s="9" t="s">
        <v>31</v>
      </c>
      <c r="D189" s="22">
        <v>42914</v>
      </c>
      <c r="E189" s="9">
        <v>1</v>
      </c>
      <c r="F189" s="9">
        <v>1</v>
      </c>
      <c r="G189" s="9">
        <v>0</v>
      </c>
      <c r="H189" s="9">
        <v>0</v>
      </c>
      <c r="I189" s="9">
        <v>0</v>
      </c>
      <c r="J189" s="9">
        <v>0</v>
      </c>
      <c r="K189" s="56">
        <v>42926</v>
      </c>
      <c r="L189" s="24">
        <v>295</v>
      </c>
    </row>
    <row r="190" spans="2:12" x14ac:dyDescent="0.2">
      <c r="B190" s="6" t="s">
        <v>143</v>
      </c>
      <c r="C190" s="9" t="s">
        <v>31</v>
      </c>
      <c r="D190" s="22">
        <v>42868</v>
      </c>
      <c r="E190" s="9">
        <v>1</v>
      </c>
      <c r="F190" s="9">
        <v>0</v>
      </c>
      <c r="G190" s="9">
        <v>1</v>
      </c>
      <c r="H190" s="9">
        <v>1</v>
      </c>
      <c r="I190" s="9">
        <v>0</v>
      </c>
      <c r="J190" s="9">
        <v>0</v>
      </c>
      <c r="K190" s="56">
        <v>42911</v>
      </c>
      <c r="L190" s="24">
        <v>294</v>
      </c>
    </row>
    <row r="191" spans="2:12" x14ac:dyDescent="0.2">
      <c r="B191" s="6" t="s">
        <v>530</v>
      </c>
      <c r="C191" s="9" t="s">
        <v>20</v>
      </c>
      <c r="D191" s="22">
        <v>42834</v>
      </c>
      <c r="E191" s="9">
        <v>1</v>
      </c>
      <c r="F191" s="9">
        <v>1</v>
      </c>
      <c r="G191" s="9">
        <v>0</v>
      </c>
      <c r="H191" s="9">
        <v>0</v>
      </c>
      <c r="I191" s="9">
        <v>0</v>
      </c>
      <c r="J191" s="9">
        <v>0</v>
      </c>
      <c r="K191" s="56">
        <v>42854</v>
      </c>
      <c r="L191" s="24">
        <v>293</v>
      </c>
    </row>
    <row r="192" spans="2:12" x14ac:dyDescent="0.2">
      <c r="B192" s="6" t="s">
        <v>117</v>
      </c>
      <c r="C192" s="9" t="s">
        <v>31</v>
      </c>
      <c r="D192" s="22">
        <v>42909</v>
      </c>
      <c r="E192" s="9">
        <v>1</v>
      </c>
      <c r="F192" s="9">
        <v>1</v>
      </c>
      <c r="G192" s="9">
        <v>0</v>
      </c>
      <c r="H192" s="9">
        <v>0</v>
      </c>
      <c r="I192" s="9">
        <v>0</v>
      </c>
      <c r="J192" s="9">
        <v>0</v>
      </c>
      <c r="K192" s="56">
        <v>42930</v>
      </c>
      <c r="L192" s="24">
        <v>292</v>
      </c>
    </row>
    <row r="193" spans="2:12" x14ac:dyDescent="0.2">
      <c r="B193" s="6" t="s">
        <v>413</v>
      </c>
      <c r="C193" s="9" t="s">
        <v>31</v>
      </c>
      <c r="D193" s="22">
        <v>42864</v>
      </c>
      <c r="E193" s="9">
        <v>1</v>
      </c>
      <c r="F193" s="9">
        <v>0</v>
      </c>
      <c r="G193" s="9">
        <v>1</v>
      </c>
      <c r="H193" s="9">
        <v>1</v>
      </c>
      <c r="I193" s="9">
        <v>0</v>
      </c>
      <c r="J193" s="9">
        <v>0</v>
      </c>
      <c r="K193" s="56">
        <v>42894</v>
      </c>
      <c r="L193" s="24">
        <v>292</v>
      </c>
    </row>
    <row r="194" spans="2:12" x14ac:dyDescent="0.2">
      <c r="B194" s="6" t="s">
        <v>710</v>
      </c>
      <c r="C194" s="9" t="s">
        <v>31</v>
      </c>
      <c r="D194" s="22">
        <v>42846</v>
      </c>
      <c r="E194" s="9">
        <v>1</v>
      </c>
      <c r="F194" s="9">
        <v>0</v>
      </c>
      <c r="G194" s="9">
        <v>1</v>
      </c>
      <c r="H194" s="9">
        <v>1</v>
      </c>
      <c r="I194" s="9">
        <v>0</v>
      </c>
      <c r="J194" s="9">
        <v>0</v>
      </c>
      <c r="K194" s="56">
        <v>42901</v>
      </c>
      <c r="L194" s="24">
        <v>291</v>
      </c>
    </row>
    <row r="195" spans="2:12" x14ac:dyDescent="0.2">
      <c r="B195" s="6" t="s">
        <v>391</v>
      </c>
      <c r="C195" s="9" t="s">
        <v>31</v>
      </c>
      <c r="D195" s="22">
        <v>42854</v>
      </c>
      <c r="E195" s="9">
        <v>1</v>
      </c>
      <c r="F195" s="9">
        <v>0</v>
      </c>
      <c r="G195" s="9">
        <v>1</v>
      </c>
      <c r="H195" s="9">
        <v>0</v>
      </c>
      <c r="I195" s="9">
        <v>1</v>
      </c>
      <c r="J195" s="9">
        <v>1</v>
      </c>
      <c r="K195" s="56">
        <v>42919</v>
      </c>
      <c r="L195" s="24">
        <v>291</v>
      </c>
    </row>
    <row r="196" spans="2:12" x14ac:dyDescent="0.2">
      <c r="B196" s="6" t="s">
        <v>567</v>
      </c>
      <c r="C196" s="9" t="s">
        <v>20</v>
      </c>
      <c r="D196" s="22">
        <v>42916</v>
      </c>
      <c r="E196" s="9">
        <v>1</v>
      </c>
      <c r="F196" s="9">
        <v>1</v>
      </c>
      <c r="G196" s="9">
        <v>0</v>
      </c>
      <c r="H196" s="9">
        <v>0</v>
      </c>
      <c r="I196" s="9">
        <v>0</v>
      </c>
      <c r="J196" s="9">
        <v>0</v>
      </c>
      <c r="K196" s="56">
        <v>42927</v>
      </c>
      <c r="L196" s="24">
        <v>290</v>
      </c>
    </row>
    <row r="197" spans="2:12" x14ac:dyDescent="0.2">
      <c r="B197" s="6" t="s">
        <v>283</v>
      </c>
      <c r="C197" s="9" t="s">
        <v>20</v>
      </c>
      <c r="D197" s="22">
        <v>42877</v>
      </c>
      <c r="E197" s="9">
        <v>1</v>
      </c>
      <c r="F197" s="9">
        <v>0</v>
      </c>
      <c r="G197" s="9">
        <v>1</v>
      </c>
      <c r="H197" s="9">
        <v>0</v>
      </c>
      <c r="I197" s="9">
        <v>1</v>
      </c>
      <c r="J197" s="9">
        <v>1</v>
      </c>
      <c r="K197" s="56">
        <v>42939</v>
      </c>
      <c r="L197" s="24">
        <v>290</v>
      </c>
    </row>
    <row r="198" spans="2:12" x14ac:dyDescent="0.2">
      <c r="B198" s="6" t="s">
        <v>122</v>
      </c>
      <c r="C198" s="9" t="s">
        <v>31</v>
      </c>
      <c r="D198" s="22">
        <v>42848</v>
      </c>
      <c r="E198" s="9">
        <v>1</v>
      </c>
      <c r="F198" s="9">
        <v>0</v>
      </c>
      <c r="G198" s="9">
        <v>1</v>
      </c>
      <c r="H198" s="9">
        <v>1</v>
      </c>
      <c r="I198" s="9">
        <v>0</v>
      </c>
      <c r="J198" s="9">
        <v>0</v>
      </c>
      <c r="K198" s="56">
        <v>42878</v>
      </c>
      <c r="L198" s="24">
        <v>289</v>
      </c>
    </row>
    <row r="199" spans="2:12" x14ac:dyDescent="0.2">
      <c r="B199" s="6" t="s">
        <v>711</v>
      </c>
      <c r="C199" s="9" t="s">
        <v>20</v>
      </c>
      <c r="D199" s="22">
        <v>42892</v>
      </c>
      <c r="E199" s="9">
        <v>1</v>
      </c>
      <c r="F199" s="9">
        <v>0</v>
      </c>
      <c r="G199" s="9">
        <v>1</v>
      </c>
      <c r="H199" s="9">
        <v>0</v>
      </c>
      <c r="I199" s="9">
        <v>1</v>
      </c>
      <c r="J199" s="9">
        <v>1</v>
      </c>
      <c r="K199" s="56">
        <v>42954</v>
      </c>
      <c r="L199" s="24">
        <v>289</v>
      </c>
    </row>
    <row r="200" spans="2:12" x14ac:dyDescent="0.2">
      <c r="B200" s="6" t="s">
        <v>303</v>
      </c>
      <c r="C200" s="9" t="s">
        <v>20</v>
      </c>
      <c r="D200" s="22">
        <v>42840</v>
      </c>
      <c r="E200" s="9">
        <v>1</v>
      </c>
      <c r="F200" s="9">
        <v>0</v>
      </c>
      <c r="G200" s="9">
        <v>1</v>
      </c>
      <c r="H200" s="9">
        <v>1</v>
      </c>
      <c r="I200" s="9">
        <v>0</v>
      </c>
      <c r="J200" s="9">
        <v>0</v>
      </c>
      <c r="K200" s="56">
        <v>42893</v>
      </c>
      <c r="L200" s="24">
        <v>288</v>
      </c>
    </row>
    <row r="201" spans="2:12" x14ac:dyDescent="0.2">
      <c r="B201" s="6" t="s">
        <v>592</v>
      </c>
      <c r="C201" s="9" t="s">
        <v>20</v>
      </c>
      <c r="D201" s="22">
        <v>42830</v>
      </c>
      <c r="E201" s="9">
        <v>1</v>
      </c>
      <c r="F201" s="9">
        <v>0</v>
      </c>
      <c r="G201" s="9">
        <v>1</v>
      </c>
      <c r="H201" s="9">
        <v>1</v>
      </c>
      <c r="I201" s="9">
        <v>0</v>
      </c>
      <c r="J201" s="9">
        <v>0</v>
      </c>
      <c r="K201" s="56">
        <v>42882</v>
      </c>
      <c r="L201" s="24">
        <v>288</v>
      </c>
    </row>
    <row r="202" spans="2:12" x14ac:dyDescent="0.2">
      <c r="B202" s="6" t="s">
        <v>707</v>
      </c>
      <c r="C202" s="9" t="s">
        <v>20</v>
      </c>
      <c r="D202" s="22">
        <v>42858</v>
      </c>
      <c r="E202" s="9">
        <v>1</v>
      </c>
      <c r="F202" s="9">
        <v>1</v>
      </c>
      <c r="G202" s="9">
        <v>0</v>
      </c>
      <c r="H202" s="9">
        <v>0</v>
      </c>
      <c r="I202" s="9">
        <v>0</v>
      </c>
      <c r="J202" s="9">
        <v>0</v>
      </c>
      <c r="K202" s="56">
        <v>42875</v>
      </c>
      <c r="L202" s="24">
        <v>287</v>
      </c>
    </row>
    <row r="203" spans="2:12" x14ac:dyDescent="0.2">
      <c r="B203" s="6" t="s">
        <v>688</v>
      </c>
      <c r="C203" s="9" t="s">
        <v>31</v>
      </c>
      <c r="D203" s="22">
        <v>42828</v>
      </c>
      <c r="E203" s="9">
        <v>1</v>
      </c>
      <c r="F203" s="9">
        <v>1</v>
      </c>
      <c r="G203" s="9">
        <v>0</v>
      </c>
      <c r="H203" s="9">
        <v>0</v>
      </c>
      <c r="I203" s="9">
        <v>0</v>
      </c>
      <c r="J203" s="9">
        <v>0</v>
      </c>
      <c r="K203" s="56">
        <v>42831</v>
      </c>
      <c r="L203" s="24">
        <v>287</v>
      </c>
    </row>
    <row r="204" spans="2:12" x14ac:dyDescent="0.2">
      <c r="B204" s="6" t="s">
        <v>504</v>
      </c>
      <c r="C204" s="9" t="s">
        <v>20</v>
      </c>
      <c r="D204" s="22">
        <v>42849</v>
      </c>
      <c r="E204" s="9">
        <v>1</v>
      </c>
      <c r="F204" s="9">
        <v>1</v>
      </c>
      <c r="G204" s="9">
        <v>0</v>
      </c>
      <c r="H204" s="9">
        <v>0</v>
      </c>
      <c r="I204" s="9">
        <v>0</v>
      </c>
      <c r="J204" s="9">
        <v>0</v>
      </c>
      <c r="K204" s="56">
        <v>42874</v>
      </c>
      <c r="L204" s="24">
        <v>287</v>
      </c>
    </row>
    <row r="205" spans="2:12" x14ac:dyDescent="0.2">
      <c r="B205" s="6" t="s">
        <v>365</v>
      </c>
      <c r="C205" s="9" t="s">
        <v>31</v>
      </c>
      <c r="D205" s="22">
        <v>42870</v>
      </c>
      <c r="E205" s="9">
        <v>1</v>
      </c>
      <c r="F205" s="9">
        <v>1</v>
      </c>
      <c r="G205" s="9">
        <v>0</v>
      </c>
      <c r="H205" s="9">
        <v>0</v>
      </c>
      <c r="I205" s="9">
        <v>0</v>
      </c>
      <c r="J205" s="9">
        <v>0</v>
      </c>
      <c r="K205" s="56">
        <v>42876</v>
      </c>
      <c r="L205" s="24">
        <v>286</v>
      </c>
    </row>
    <row r="206" spans="2:12" x14ac:dyDescent="0.2">
      <c r="B206" s="6" t="s">
        <v>110</v>
      </c>
      <c r="C206" s="9" t="s">
        <v>31</v>
      </c>
      <c r="D206" s="22">
        <v>42880</v>
      </c>
      <c r="E206" s="9">
        <v>1</v>
      </c>
      <c r="F206" s="9">
        <v>0</v>
      </c>
      <c r="G206" s="9">
        <v>1</v>
      </c>
      <c r="H206" s="9">
        <v>0</v>
      </c>
      <c r="I206" s="9">
        <v>1</v>
      </c>
      <c r="J206" s="9">
        <v>1</v>
      </c>
      <c r="K206" s="56">
        <v>42941</v>
      </c>
      <c r="L206" s="24">
        <v>286</v>
      </c>
    </row>
    <row r="207" spans="2:12" x14ac:dyDescent="0.2">
      <c r="B207" s="6" t="s">
        <v>419</v>
      </c>
      <c r="C207" s="9" t="s">
        <v>31</v>
      </c>
      <c r="D207" s="22">
        <v>42880</v>
      </c>
      <c r="E207" s="9">
        <v>1</v>
      </c>
      <c r="F207" s="9">
        <v>1</v>
      </c>
      <c r="G207" s="9">
        <v>0</v>
      </c>
      <c r="H207" s="9">
        <v>0</v>
      </c>
      <c r="I207" s="9">
        <v>0</v>
      </c>
      <c r="J207" s="9">
        <v>0</v>
      </c>
      <c r="K207" s="56">
        <v>42900</v>
      </c>
      <c r="L207" s="24">
        <v>285</v>
      </c>
    </row>
    <row r="208" spans="2:12" x14ac:dyDescent="0.2">
      <c r="B208" s="6" t="s">
        <v>340</v>
      </c>
      <c r="C208" s="9" t="s">
        <v>20</v>
      </c>
      <c r="D208" s="22">
        <v>42831</v>
      </c>
      <c r="E208" s="9">
        <v>1</v>
      </c>
      <c r="F208" s="9">
        <v>1</v>
      </c>
      <c r="G208" s="9">
        <v>0</v>
      </c>
      <c r="H208" s="9">
        <v>0</v>
      </c>
      <c r="I208" s="9">
        <v>0</v>
      </c>
      <c r="J208" s="9">
        <v>0</v>
      </c>
      <c r="K208" s="56">
        <v>42853</v>
      </c>
      <c r="L208" s="24">
        <v>285</v>
      </c>
    </row>
    <row r="209" spans="2:12" x14ac:dyDescent="0.2">
      <c r="B209" s="6" t="s">
        <v>377</v>
      </c>
      <c r="C209" s="9" t="s">
        <v>20</v>
      </c>
      <c r="D209" s="22">
        <v>42858</v>
      </c>
      <c r="E209" s="9">
        <v>1</v>
      </c>
      <c r="F209" s="9">
        <v>0</v>
      </c>
      <c r="G209" s="9">
        <v>1</v>
      </c>
      <c r="H209" s="9">
        <v>0</v>
      </c>
      <c r="I209" s="9">
        <v>1</v>
      </c>
      <c r="J209" s="9">
        <v>1</v>
      </c>
      <c r="K209" s="56">
        <v>42929</v>
      </c>
      <c r="L209" s="24">
        <v>285</v>
      </c>
    </row>
    <row r="210" spans="2:12" x14ac:dyDescent="0.2">
      <c r="B210" s="6" t="s">
        <v>189</v>
      </c>
      <c r="C210" s="9" t="s">
        <v>20</v>
      </c>
      <c r="D210" s="22">
        <v>42913</v>
      </c>
      <c r="E210" s="9">
        <v>1</v>
      </c>
      <c r="F210" s="9">
        <v>1</v>
      </c>
      <c r="G210" s="9">
        <v>0</v>
      </c>
      <c r="H210" s="9">
        <v>0</v>
      </c>
      <c r="I210" s="9">
        <v>0</v>
      </c>
      <c r="J210" s="9">
        <v>0</v>
      </c>
      <c r="K210" s="56">
        <v>42925</v>
      </c>
      <c r="L210" s="24">
        <v>283</v>
      </c>
    </row>
    <row r="211" spans="2:12" x14ac:dyDescent="0.2">
      <c r="B211" s="6" t="s">
        <v>621</v>
      </c>
      <c r="C211" s="9" t="s">
        <v>31</v>
      </c>
      <c r="D211" s="22">
        <v>42870</v>
      </c>
      <c r="E211" s="9">
        <v>1</v>
      </c>
      <c r="F211" s="9">
        <v>1</v>
      </c>
      <c r="G211" s="9">
        <v>0</v>
      </c>
      <c r="H211" s="9">
        <v>0</v>
      </c>
      <c r="I211" s="9">
        <v>0</v>
      </c>
      <c r="J211" s="9">
        <v>0</v>
      </c>
      <c r="K211" s="56">
        <v>42885</v>
      </c>
      <c r="L211" s="24">
        <v>283</v>
      </c>
    </row>
    <row r="212" spans="2:12" x14ac:dyDescent="0.2">
      <c r="B212" s="6" t="s">
        <v>576</v>
      </c>
      <c r="C212" s="9" t="s">
        <v>20</v>
      </c>
      <c r="D212" s="22">
        <v>42853</v>
      </c>
      <c r="E212" s="9">
        <v>1</v>
      </c>
      <c r="F212" s="9">
        <v>0</v>
      </c>
      <c r="G212" s="9">
        <v>1</v>
      </c>
      <c r="H212" s="9">
        <v>1</v>
      </c>
      <c r="I212" s="9">
        <v>0</v>
      </c>
      <c r="J212" s="9">
        <v>0</v>
      </c>
      <c r="K212" s="56">
        <v>42894</v>
      </c>
      <c r="L212" s="24">
        <v>283</v>
      </c>
    </row>
    <row r="213" spans="2:12" x14ac:dyDescent="0.2">
      <c r="B213" s="6" t="s">
        <v>290</v>
      </c>
      <c r="C213" s="9" t="s">
        <v>20</v>
      </c>
      <c r="D213" s="22">
        <v>42861</v>
      </c>
      <c r="E213" s="9">
        <v>1</v>
      </c>
      <c r="F213" s="9">
        <v>0</v>
      </c>
      <c r="G213" s="9">
        <v>1</v>
      </c>
      <c r="H213" s="9">
        <v>1</v>
      </c>
      <c r="I213" s="9">
        <v>0</v>
      </c>
      <c r="J213" s="9">
        <v>0</v>
      </c>
      <c r="K213" s="56">
        <v>42895</v>
      </c>
      <c r="L213" s="24">
        <v>281</v>
      </c>
    </row>
    <row r="214" spans="2:12" x14ac:dyDescent="0.2">
      <c r="B214" s="6" t="s">
        <v>138</v>
      </c>
      <c r="C214" s="9" t="s">
        <v>31</v>
      </c>
      <c r="D214" s="22">
        <v>42877</v>
      </c>
      <c r="E214" s="9">
        <v>1</v>
      </c>
      <c r="F214" s="9">
        <v>1</v>
      </c>
      <c r="G214" s="9">
        <v>0</v>
      </c>
      <c r="H214" s="9">
        <v>0</v>
      </c>
      <c r="I214" s="9">
        <v>0</v>
      </c>
      <c r="J214" s="9">
        <v>0</v>
      </c>
      <c r="K214" s="56">
        <v>42880</v>
      </c>
      <c r="L214" s="24">
        <v>281</v>
      </c>
    </row>
    <row r="215" spans="2:12" x14ac:dyDescent="0.2">
      <c r="B215" s="6" t="s">
        <v>76</v>
      </c>
      <c r="C215" s="9" t="s">
        <v>20</v>
      </c>
      <c r="D215" s="22">
        <v>42839</v>
      </c>
      <c r="E215" s="9">
        <v>1</v>
      </c>
      <c r="F215" s="9">
        <v>0</v>
      </c>
      <c r="G215" s="9">
        <v>1</v>
      </c>
      <c r="H215" s="9">
        <v>0</v>
      </c>
      <c r="I215" s="9">
        <v>1</v>
      </c>
      <c r="J215" s="9">
        <v>1</v>
      </c>
      <c r="K215" s="56">
        <v>42914</v>
      </c>
      <c r="L215" s="24">
        <v>279</v>
      </c>
    </row>
    <row r="216" spans="2:12" x14ac:dyDescent="0.2">
      <c r="B216" s="6" t="s">
        <v>345</v>
      </c>
      <c r="C216" s="9" t="s">
        <v>20</v>
      </c>
      <c r="D216" s="22">
        <v>42893</v>
      </c>
      <c r="E216" s="9">
        <v>1</v>
      </c>
      <c r="F216" s="9">
        <v>1</v>
      </c>
      <c r="G216" s="9">
        <v>0</v>
      </c>
      <c r="H216" s="9">
        <v>0</v>
      </c>
      <c r="I216" s="9">
        <v>0</v>
      </c>
      <c r="J216" s="9">
        <v>0</v>
      </c>
      <c r="K216" s="56">
        <v>42914</v>
      </c>
      <c r="L216" s="24">
        <v>278</v>
      </c>
    </row>
    <row r="217" spans="2:12" x14ac:dyDescent="0.2">
      <c r="B217" s="6" t="s">
        <v>382</v>
      </c>
      <c r="C217" s="9" t="s">
        <v>31</v>
      </c>
      <c r="D217" s="22">
        <v>42886</v>
      </c>
      <c r="E217" s="9">
        <v>1</v>
      </c>
      <c r="F217" s="9">
        <v>1</v>
      </c>
      <c r="G217" s="9">
        <v>0</v>
      </c>
      <c r="H217" s="9">
        <v>0</v>
      </c>
      <c r="I217" s="9">
        <v>0</v>
      </c>
      <c r="J217" s="9">
        <v>0</v>
      </c>
      <c r="K217" s="56">
        <v>42887</v>
      </c>
      <c r="L217" s="24">
        <v>276</v>
      </c>
    </row>
    <row r="218" spans="2:12" x14ac:dyDescent="0.2">
      <c r="B218" s="6" t="s">
        <v>78</v>
      </c>
      <c r="C218" s="9" t="s">
        <v>20</v>
      </c>
      <c r="D218" s="22">
        <v>42888</v>
      </c>
      <c r="E218" s="9">
        <v>1</v>
      </c>
      <c r="F218" s="9">
        <v>1</v>
      </c>
      <c r="G218" s="9">
        <v>0</v>
      </c>
      <c r="H218" s="9">
        <v>0</v>
      </c>
      <c r="I218" s="9">
        <v>0</v>
      </c>
      <c r="J218" s="9">
        <v>0</v>
      </c>
      <c r="K218" s="56">
        <v>42895</v>
      </c>
      <c r="L218" s="24">
        <v>276</v>
      </c>
    </row>
    <row r="219" spans="2:12" x14ac:dyDescent="0.2">
      <c r="B219" s="6" t="s">
        <v>396</v>
      </c>
      <c r="C219" s="9" t="s">
        <v>20</v>
      </c>
      <c r="D219" s="22">
        <v>42915</v>
      </c>
      <c r="E219" s="9">
        <v>1</v>
      </c>
      <c r="F219" s="9">
        <v>1</v>
      </c>
      <c r="G219" s="9">
        <v>0</v>
      </c>
      <c r="H219" s="9">
        <v>0</v>
      </c>
      <c r="I219" s="9">
        <v>0</v>
      </c>
      <c r="J219" s="9">
        <v>0</v>
      </c>
      <c r="K219" s="56">
        <v>42939</v>
      </c>
      <c r="L219" s="24">
        <v>276</v>
      </c>
    </row>
    <row r="220" spans="2:12" x14ac:dyDescent="0.2">
      <c r="B220" s="6" t="s">
        <v>452</v>
      </c>
      <c r="C220" s="9" t="s">
        <v>20</v>
      </c>
      <c r="D220" s="22">
        <v>42850</v>
      </c>
      <c r="E220" s="9">
        <v>1</v>
      </c>
      <c r="F220" s="9">
        <v>1</v>
      </c>
      <c r="G220" s="9">
        <v>0</v>
      </c>
      <c r="H220" s="9">
        <v>0</v>
      </c>
      <c r="I220" s="9">
        <v>0</v>
      </c>
      <c r="J220" s="9">
        <v>0</v>
      </c>
      <c r="K220" s="56">
        <v>42859</v>
      </c>
      <c r="L220" s="24">
        <v>276</v>
      </c>
    </row>
    <row r="221" spans="2:12" x14ac:dyDescent="0.2">
      <c r="B221" s="6" t="s">
        <v>142</v>
      </c>
      <c r="C221" s="9" t="s">
        <v>31</v>
      </c>
      <c r="D221" s="22">
        <v>42884</v>
      </c>
      <c r="E221" s="9">
        <v>1</v>
      </c>
      <c r="F221" s="9">
        <v>0</v>
      </c>
      <c r="G221" s="9">
        <v>1</v>
      </c>
      <c r="H221" s="9">
        <v>1</v>
      </c>
      <c r="I221" s="9">
        <v>0</v>
      </c>
      <c r="J221" s="9">
        <v>0</v>
      </c>
      <c r="K221" s="56">
        <v>42938</v>
      </c>
      <c r="L221" s="24">
        <v>276</v>
      </c>
    </row>
    <row r="222" spans="2:12" x14ac:dyDescent="0.2">
      <c r="B222" s="6" t="s">
        <v>172</v>
      </c>
      <c r="C222" s="9" t="s">
        <v>20</v>
      </c>
      <c r="D222" s="22">
        <v>42843</v>
      </c>
      <c r="E222" s="9">
        <v>1</v>
      </c>
      <c r="F222" s="9">
        <v>0</v>
      </c>
      <c r="G222" s="9">
        <v>1</v>
      </c>
      <c r="H222" s="9">
        <v>0</v>
      </c>
      <c r="I222" s="9">
        <v>1</v>
      </c>
      <c r="J222" s="9">
        <v>1</v>
      </c>
      <c r="K222" s="56">
        <v>42918</v>
      </c>
      <c r="L222" s="24">
        <v>276</v>
      </c>
    </row>
    <row r="223" spans="2:12" x14ac:dyDescent="0.2">
      <c r="B223" s="6" t="s">
        <v>120</v>
      </c>
      <c r="C223" s="9" t="s">
        <v>31</v>
      </c>
      <c r="D223" s="22">
        <v>42897</v>
      </c>
      <c r="E223" s="9">
        <v>1</v>
      </c>
      <c r="F223" s="9">
        <v>1</v>
      </c>
      <c r="G223" s="9">
        <v>0</v>
      </c>
      <c r="H223" s="9">
        <v>0</v>
      </c>
      <c r="I223" s="9">
        <v>0</v>
      </c>
      <c r="J223" s="9">
        <v>0</v>
      </c>
      <c r="K223" s="56">
        <v>42908</v>
      </c>
      <c r="L223" s="24">
        <v>275</v>
      </c>
    </row>
    <row r="224" spans="2:12" x14ac:dyDescent="0.2">
      <c r="B224" s="6" t="s">
        <v>111</v>
      </c>
      <c r="C224" s="9" t="s">
        <v>20</v>
      </c>
      <c r="D224" s="22">
        <v>42881</v>
      </c>
      <c r="E224" s="9">
        <v>1</v>
      </c>
      <c r="F224" s="9">
        <v>0</v>
      </c>
      <c r="G224" s="9">
        <v>1</v>
      </c>
      <c r="H224" s="9">
        <v>1</v>
      </c>
      <c r="I224" s="9">
        <v>0</v>
      </c>
      <c r="J224" s="9">
        <v>0</v>
      </c>
      <c r="K224" s="56">
        <v>42932</v>
      </c>
      <c r="L224" s="24">
        <v>275</v>
      </c>
    </row>
    <row r="225" spans="2:12" x14ac:dyDescent="0.2">
      <c r="B225" s="6" t="s">
        <v>631</v>
      </c>
      <c r="C225" s="9" t="s">
        <v>20</v>
      </c>
      <c r="D225" s="22">
        <v>42891</v>
      </c>
      <c r="E225" s="9">
        <v>1</v>
      </c>
      <c r="F225" s="9">
        <v>1</v>
      </c>
      <c r="G225" s="9">
        <v>0</v>
      </c>
      <c r="H225" s="9">
        <v>0</v>
      </c>
      <c r="I225" s="9">
        <v>0</v>
      </c>
      <c r="J225" s="9">
        <v>0</v>
      </c>
      <c r="K225" s="56">
        <v>42908</v>
      </c>
      <c r="L225" s="24">
        <v>274</v>
      </c>
    </row>
    <row r="226" spans="2:12" x14ac:dyDescent="0.2">
      <c r="B226" s="6" t="s">
        <v>531</v>
      </c>
      <c r="C226" s="9" t="s">
        <v>31</v>
      </c>
      <c r="D226" s="22">
        <v>42855</v>
      </c>
      <c r="E226" s="9">
        <v>1</v>
      </c>
      <c r="F226" s="9">
        <v>1</v>
      </c>
      <c r="G226" s="9">
        <v>0</v>
      </c>
      <c r="H226" s="9">
        <v>0</v>
      </c>
      <c r="I226" s="9">
        <v>0</v>
      </c>
      <c r="J226" s="9">
        <v>0</v>
      </c>
      <c r="K226" s="56">
        <v>42858</v>
      </c>
      <c r="L226" s="24">
        <v>271</v>
      </c>
    </row>
    <row r="227" spans="2:12" x14ac:dyDescent="0.2">
      <c r="B227" s="6" t="s">
        <v>199</v>
      </c>
      <c r="C227" s="9" t="s">
        <v>31</v>
      </c>
      <c r="D227" s="22">
        <v>42839</v>
      </c>
      <c r="E227" s="9">
        <v>1</v>
      </c>
      <c r="F227" s="9">
        <v>1</v>
      </c>
      <c r="G227" s="9">
        <v>0</v>
      </c>
      <c r="H227" s="9">
        <v>0</v>
      </c>
      <c r="I227" s="9">
        <v>0</v>
      </c>
      <c r="J227" s="9">
        <v>0</v>
      </c>
      <c r="K227" s="56">
        <v>42843</v>
      </c>
      <c r="L227" s="24">
        <v>271</v>
      </c>
    </row>
    <row r="228" spans="2:12" x14ac:dyDescent="0.2">
      <c r="B228" s="6" t="s">
        <v>678</v>
      </c>
      <c r="C228" s="9" t="s">
        <v>20</v>
      </c>
      <c r="D228" s="22">
        <v>42893</v>
      </c>
      <c r="E228" s="9">
        <v>1</v>
      </c>
      <c r="F228" s="9">
        <v>0</v>
      </c>
      <c r="G228" s="9">
        <v>1</v>
      </c>
      <c r="H228" s="9">
        <v>1</v>
      </c>
      <c r="I228" s="9">
        <v>0</v>
      </c>
      <c r="J228" s="9">
        <v>0</v>
      </c>
      <c r="K228" s="56">
        <v>42927</v>
      </c>
      <c r="L228" s="24">
        <v>271</v>
      </c>
    </row>
    <row r="229" spans="2:12" x14ac:dyDescent="0.2">
      <c r="B229" s="6" t="s">
        <v>972</v>
      </c>
      <c r="C229" s="9" t="s">
        <v>20</v>
      </c>
      <c r="D229" s="22">
        <v>42899</v>
      </c>
      <c r="E229" s="9">
        <v>1</v>
      </c>
      <c r="F229" s="9">
        <v>0</v>
      </c>
      <c r="G229" s="9">
        <v>1</v>
      </c>
      <c r="H229" s="9">
        <v>0</v>
      </c>
      <c r="I229" s="9">
        <v>1</v>
      </c>
      <c r="J229" s="9">
        <v>1</v>
      </c>
      <c r="K229" s="56">
        <v>42974</v>
      </c>
      <c r="L229" s="24">
        <v>270</v>
      </c>
    </row>
    <row r="230" spans="2:12" x14ac:dyDescent="0.2">
      <c r="B230" s="6" t="s">
        <v>323</v>
      </c>
      <c r="C230" s="9" t="s">
        <v>31</v>
      </c>
      <c r="D230" s="22">
        <v>42835</v>
      </c>
      <c r="E230" s="9">
        <v>1</v>
      </c>
      <c r="F230" s="9">
        <v>1</v>
      </c>
      <c r="G230" s="9">
        <v>0</v>
      </c>
      <c r="H230" s="9">
        <v>0</v>
      </c>
      <c r="I230" s="9">
        <v>0</v>
      </c>
      <c r="J230" s="9">
        <v>0</v>
      </c>
      <c r="K230" s="56">
        <v>42847</v>
      </c>
      <c r="L230" s="24">
        <v>269</v>
      </c>
    </row>
    <row r="231" spans="2:12" x14ac:dyDescent="0.2">
      <c r="B231" s="6" t="s">
        <v>230</v>
      </c>
      <c r="C231" s="9" t="s">
        <v>20</v>
      </c>
      <c r="D231" s="22">
        <v>42834</v>
      </c>
      <c r="E231" s="9">
        <v>1</v>
      </c>
      <c r="F231" s="9">
        <v>1</v>
      </c>
      <c r="G231" s="9">
        <v>0</v>
      </c>
      <c r="H231" s="9">
        <v>0</v>
      </c>
      <c r="I231" s="9">
        <v>0</v>
      </c>
      <c r="J231" s="9">
        <v>0</v>
      </c>
      <c r="K231" s="56">
        <v>42849</v>
      </c>
      <c r="L231" s="24">
        <v>268</v>
      </c>
    </row>
    <row r="232" spans="2:12" x14ac:dyDescent="0.2">
      <c r="B232" s="6" t="s">
        <v>973</v>
      </c>
      <c r="C232" s="9" t="s">
        <v>31</v>
      </c>
      <c r="D232" s="22">
        <v>42891</v>
      </c>
      <c r="E232" s="9">
        <v>1</v>
      </c>
      <c r="F232" s="9">
        <v>1</v>
      </c>
      <c r="G232" s="9">
        <v>0</v>
      </c>
      <c r="H232" s="9">
        <v>0</v>
      </c>
      <c r="I232" s="9">
        <v>0</v>
      </c>
      <c r="J232" s="9">
        <v>0</v>
      </c>
      <c r="K232" s="56">
        <v>42897</v>
      </c>
      <c r="L232" s="24">
        <v>268</v>
      </c>
    </row>
    <row r="233" spans="2:12" x14ac:dyDescent="0.2">
      <c r="B233" s="6" t="s">
        <v>497</v>
      </c>
      <c r="C233" s="9" t="s">
        <v>20</v>
      </c>
      <c r="D233" s="22">
        <v>42880</v>
      </c>
      <c r="E233" s="9">
        <v>1</v>
      </c>
      <c r="F233" s="9">
        <v>1</v>
      </c>
      <c r="G233" s="9">
        <v>0</v>
      </c>
      <c r="H233" s="9">
        <v>0</v>
      </c>
      <c r="I233" s="9">
        <v>0</v>
      </c>
      <c r="J233" s="9">
        <v>0</v>
      </c>
      <c r="K233" s="56">
        <v>42884</v>
      </c>
      <c r="L233" s="24">
        <v>267</v>
      </c>
    </row>
    <row r="234" spans="2:12" x14ac:dyDescent="0.2">
      <c r="B234" s="6" t="s">
        <v>538</v>
      </c>
      <c r="C234" s="9" t="s">
        <v>20</v>
      </c>
      <c r="D234" s="22">
        <v>42903</v>
      </c>
      <c r="E234" s="9">
        <v>1</v>
      </c>
      <c r="F234" s="9">
        <v>0</v>
      </c>
      <c r="G234" s="9">
        <v>1</v>
      </c>
      <c r="H234" s="9">
        <v>1</v>
      </c>
      <c r="I234" s="9">
        <v>0</v>
      </c>
      <c r="J234" s="9">
        <v>0</v>
      </c>
      <c r="K234" s="56">
        <v>42938</v>
      </c>
      <c r="L234" s="24">
        <v>267</v>
      </c>
    </row>
    <row r="235" spans="2:12" x14ac:dyDescent="0.2">
      <c r="B235" s="6" t="s">
        <v>331</v>
      </c>
      <c r="C235" s="9" t="s">
        <v>31</v>
      </c>
      <c r="D235" s="22">
        <v>42892</v>
      </c>
      <c r="E235" s="9">
        <v>1</v>
      </c>
      <c r="F235" s="9">
        <v>1</v>
      </c>
      <c r="G235" s="9">
        <v>0</v>
      </c>
      <c r="H235" s="9">
        <v>0</v>
      </c>
      <c r="I235" s="9">
        <v>0</v>
      </c>
      <c r="J235" s="9">
        <v>0</v>
      </c>
      <c r="K235" s="56">
        <v>42899</v>
      </c>
      <c r="L235" s="24">
        <v>265</v>
      </c>
    </row>
    <row r="236" spans="2:12" x14ac:dyDescent="0.2">
      <c r="B236" s="6" t="s">
        <v>460</v>
      </c>
      <c r="C236" s="9" t="s">
        <v>31</v>
      </c>
      <c r="D236" s="22">
        <v>42884</v>
      </c>
      <c r="E236" s="9">
        <v>1</v>
      </c>
      <c r="F236" s="9">
        <v>1</v>
      </c>
      <c r="G236" s="9">
        <v>0</v>
      </c>
      <c r="H236" s="9">
        <v>0</v>
      </c>
      <c r="I236" s="9">
        <v>0</v>
      </c>
      <c r="J236" s="9">
        <v>0</v>
      </c>
      <c r="K236" s="56">
        <v>42887</v>
      </c>
      <c r="L236" s="24">
        <v>265</v>
      </c>
    </row>
    <row r="237" spans="2:12" x14ac:dyDescent="0.2">
      <c r="B237" s="6" t="s">
        <v>178</v>
      </c>
      <c r="C237" s="9" t="s">
        <v>20</v>
      </c>
      <c r="D237" s="22">
        <v>42877</v>
      </c>
      <c r="E237" s="9">
        <v>1</v>
      </c>
      <c r="F237" s="9">
        <v>1</v>
      </c>
      <c r="G237" s="9">
        <v>0</v>
      </c>
      <c r="H237" s="9">
        <v>0</v>
      </c>
      <c r="I237" s="9">
        <v>0</v>
      </c>
      <c r="J237" s="9">
        <v>0</v>
      </c>
      <c r="K237" s="56">
        <v>42895</v>
      </c>
      <c r="L237" s="24">
        <v>264</v>
      </c>
    </row>
    <row r="238" spans="2:12" x14ac:dyDescent="0.2">
      <c r="B238" s="6" t="s">
        <v>246</v>
      </c>
      <c r="C238" s="9" t="s">
        <v>20</v>
      </c>
      <c r="D238" s="22">
        <v>42833</v>
      </c>
      <c r="E238" s="9">
        <v>1</v>
      </c>
      <c r="F238" s="9">
        <v>0</v>
      </c>
      <c r="G238" s="9">
        <v>1</v>
      </c>
      <c r="H238" s="9">
        <v>1</v>
      </c>
      <c r="I238" s="9">
        <v>0</v>
      </c>
      <c r="J238" s="9">
        <v>0</v>
      </c>
      <c r="K238" s="56">
        <v>42884</v>
      </c>
      <c r="L238" s="24">
        <v>264</v>
      </c>
    </row>
    <row r="239" spans="2:12" x14ac:dyDescent="0.2">
      <c r="B239" s="6" t="s">
        <v>43</v>
      </c>
      <c r="C239" s="9" t="s">
        <v>31</v>
      </c>
      <c r="D239" s="22">
        <v>42880</v>
      </c>
      <c r="E239" s="9">
        <v>1</v>
      </c>
      <c r="F239" s="9">
        <v>0</v>
      </c>
      <c r="G239" s="9">
        <v>1</v>
      </c>
      <c r="H239" s="9">
        <v>1</v>
      </c>
      <c r="I239" s="9">
        <v>0</v>
      </c>
      <c r="J239" s="9">
        <v>0</v>
      </c>
      <c r="K239" s="56">
        <v>42931</v>
      </c>
      <c r="L239" s="24">
        <v>262</v>
      </c>
    </row>
    <row r="240" spans="2:12" x14ac:dyDescent="0.2">
      <c r="B240" s="6" t="s">
        <v>155</v>
      </c>
      <c r="C240" s="9" t="s">
        <v>31</v>
      </c>
      <c r="D240" s="22">
        <v>42890</v>
      </c>
      <c r="E240" s="9">
        <v>1</v>
      </c>
      <c r="F240" s="9">
        <v>1</v>
      </c>
      <c r="G240" s="9">
        <v>0</v>
      </c>
      <c r="H240" s="9">
        <v>0</v>
      </c>
      <c r="I240" s="9">
        <v>0</v>
      </c>
      <c r="J240" s="9">
        <v>0</v>
      </c>
      <c r="K240" s="56">
        <v>42895</v>
      </c>
      <c r="L240" s="24">
        <v>261</v>
      </c>
    </row>
    <row r="241" spans="2:12" x14ac:dyDescent="0.2">
      <c r="B241" s="6" t="s">
        <v>47</v>
      </c>
      <c r="C241" s="9" t="s">
        <v>20</v>
      </c>
      <c r="D241" s="22">
        <v>42913</v>
      </c>
      <c r="E241" s="9">
        <v>1</v>
      </c>
      <c r="F241" s="9">
        <v>0</v>
      </c>
      <c r="G241" s="9">
        <v>1</v>
      </c>
      <c r="H241" s="9">
        <v>1</v>
      </c>
      <c r="I241" s="9">
        <v>0</v>
      </c>
      <c r="J241" s="9">
        <v>0</v>
      </c>
      <c r="K241" s="56">
        <v>42966</v>
      </c>
      <c r="L241" s="24">
        <v>261</v>
      </c>
    </row>
    <row r="242" spans="2:12" x14ac:dyDescent="0.2">
      <c r="B242" s="6" t="s">
        <v>515</v>
      </c>
      <c r="C242" s="9" t="s">
        <v>20</v>
      </c>
      <c r="D242" s="22">
        <v>42873</v>
      </c>
      <c r="E242" s="9">
        <v>1</v>
      </c>
      <c r="F242" s="9">
        <v>1</v>
      </c>
      <c r="G242" s="9">
        <v>0</v>
      </c>
      <c r="H242" s="9">
        <v>0</v>
      </c>
      <c r="I242" s="9">
        <v>0</v>
      </c>
      <c r="J242" s="9">
        <v>0</v>
      </c>
      <c r="K242" s="56">
        <v>42883</v>
      </c>
      <c r="L242" s="24">
        <v>260</v>
      </c>
    </row>
    <row r="243" spans="2:12" x14ac:dyDescent="0.2">
      <c r="B243" s="6" t="s">
        <v>760</v>
      </c>
      <c r="C243" s="9" t="s">
        <v>20</v>
      </c>
      <c r="D243" s="22">
        <v>42848</v>
      </c>
      <c r="E243" s="9">
        <v>1</v>
      </c>
      <c r="F243" s="9">
        <v>0</v>
      </c>
      <c r="G243" s="9">
        <v>1</v>
      </c>
      <c r="H243" s="9">
        <v>1</v>
      </c>
      <c r="I243" s="9">
        <v>0</v>
      </c>
      <c r="J243" s="9">
        <v>0</v>
      </c>
      <c r="K243" s="56">
        <v>42879</v>
      </c>
      <c r="L243" s="24">
        <v>250</v>
      </c>
    </row>
    <row r="244" spans="2:12" x14ac:dyDescent="0.2">
      <c r="B244" s="6" t="s">
        <v>737</v>
      </c>
      <c r="C244" s="9" t="s">
        <v>20</v>
      </c>
      <c r="D244" s="22">
        <v>42840</v>
      </c>
      <c r="E244" s="9">
        <v>1</v>
      </c>
      <c r="F244" s="9">
        <v>1</v>
      </c>
      <c r="G244" s="9">
        <v>0</v>
      </c>
      <c r="H244" s="9">
        <v>0</v>
      </c>
      <c r="I244" s="9">
        <v>0</v>
      </c>
      <c r="J244" s="9">
        <v>0</v>
      </c>
      <c r="K244" s="56">
        <v>42861</v>
      </c>
      <c r="L244" s="24">
        <v>249</v>
      </c>
    </row>
    <row r="245" spans="2:12" x14ac:dyDescent="0.2">
      <c r="B245" s="6" t="s">
        <v>505</v>
      </c>
      <c r="C245" s="9" t="s">
        <v>31</v>
      </c>
      <c r="D245" s="22">
        <v>42873</v>
      </c>
      <c r="E245" s="9">
        <v>1</v>
      </c>
      <c r="F245" s="9">
        <v>0</v>
      </c>
      <c r="G245" s="9">
        <v>1</v>
      </c>
      <c r="H245" s="9">
        <v>0</v>
      </c>
      <c r="I245" s="9">
        <v>1</v>
      </c>
      <c r="J245" s="9">
        <v>1</v>
      </c>
      <c r="K245" s="56">
        <v>42934</v>
      </c>
      <c r="L245" s="24">
        <v>249</v>
      </c>
    </row>
    <row r="246" spans="2:12" x14ac:dyDescent="0.2">
      <c r="B246" s="6" t="s">
        <v>639</v>
      </c>
      <c r="C246" s="9" t="s">
        <v>31</v>
      </c>
      <c r="D246" s="22">
        <v>42903</v>
      </c>
      <c r="E246" s="9">
        <v>1</v>
      </c>
      <c r="F246" s="9">
        <v>1</v>
      </c>
      <c r="G246" s="9">
        <v>0</v>
      </c>
      <c r="H246" s="9">
        <v>0</v>
      </c>
      <c r="I246" s="9">
        <v>0</v>
      </c>
      <c r="J246" s="9">
        <v>0</v>
      </c>
      <c r="K246" s="56">
        <v>42915</v>
      </c>
      <c r="L246" s="24">
        <v>247</v>
      </c>
    </row>
    <row r="247" spans="2:12" x14ac:dyDescent="0.2">
      <c r="B247" s="6" t="s">
        <v>757</v>
      </c>
      <c r="C247" s="9" t="s">
        <v>31</v>
      </c>
      <c r="D247" s="22">
        <v>42858</v>
      </c>
      <c r="E247" s="9">
        <v>1</v>
      </c>
      <c r="F247" s="9">
        <v>0</v>
      </c>
      <c r="G247" s="9">
        <v>1</v>
      </c>
      <c r="H247" s="9">
        <v>1</v>
      </c>
      <c r="I247" s="9">
        <v>0</v>
      </c>
      <c r="J247" s="9">
        <v>0</v>
      </c>
      <c r="K247" s="56">
        <v>42893</v>
      </c>
      <c r="L247" s="24">
        <v>159</v>
      </c>
    </row>
    <row r="248" spans="2:12" x14ac:dyDescent="0.2">
      <c r="B248" s="6" t="s">
        <v>247</v>
      </c>
      <c r="C248" s="9" t="s">
        <v>31</v>
      </c>
      <c r="D248" s="22">
        <v>42859</v>
      </c>
      <c r="E248" s="9">
        <v>1</v>
      </c>
      <c r="F248" s="9">
        <v>1</v>
      </c>
      <c r="G248" s="9">
        <v>0</v>
      </c>
      <c r="H248" s="9">
        <v>0</v>
      </c>
      <c r="I248" s="9">
        <v>0</v>
      </c>
      <c r="J248" s="9">
        <v>0</v>
      </c>
      <c r="K248" s="56">
        <v>42883</v>
      </c>
      <c r="L248" s="24">
        <v>158</v>
      </c>
    </row>
    <row r="249" spans="2:12" x14ac:dyDescent="0.2">
      <c r="B249" s="6" t="s">
        <v>734</v>
      </c>
      <c r="C249" s="9" t="s">
        <v>31</v>
      </c>
      <c r="D249" s="22">
        <v>42890</v>
      </c>
      <c r="E249" s="9">
        <v>1</v>
      </c>
      <c r="F249" s="9">
        <v>0</v>
      </c>
      <c r="G249" s="9">
        <v>1</v>
      </c>
      <c r="H249" s="9">
        <v>1</v>
      </c>
      <c r="I249" s="9">
        <v>0</v>
      </c>
      <c r="J249" s="9">
        <v>0</v>
      </c>
      <c r="K249" s="56">
        <v>42932</v>
      </c>
      <c r="L249" s="24">
        <v>157</v>
      </c>
    </row>
    <row r="250" spans="2:12" x14ac:dyDescent="0.2">
      <c r="B250" s="6" t="s">
        <v>280</v>
      </c>
      <c r="C250" s="9" t="s">
        <v>20</v>
      </c>
      <c r="D250" s="22">
        <v>42894</v>
      </c>
      <c r="E250" s="9">
        <v>1</v>
      </c>
      <c r="F250" s="9">
        <v>1</v>
      </c>
      <c r="G250" s="9">
        <v>0</v>
      </c>
      <c r="H250" s="9">
        <v>0</v>
      </c>
      <c r="I250" s="9">
        <v>0</v>
      </c>
      <c r="J250" s="9">
        <v>0</v>
      </c>
      <c r="K250" s="56">
        <v>42905</v>
      </c>
      <c r="L250" s="24">
        <v>155</v>
      </c>
    </row>
    <row r="251" spans="2:12" x14ac:dyDescent="0.2">
      <c r="B251" s="6" t="s">
        <v>606</v>
      </c>
      <c r="C251" s="9" t="s">
        <v>20</v>
      </c>
      <c r="D251" s="22">
        <v>42890</v>
      </c>
      <c r="E251" s="9">
        <v>1</v>
      </c>
      <c r="F251" s="9">
        <v>0</v>
      </c>
      <c r="G251" s="9">
        <v>1</v>
      </c>
      <c r="H251" s="9">
        <v>1</v>
      </c>
      <c r="I251" s="9">
        <v>0</v>
      </c>
      <c r="J251" s="9">
        <v>0</v>
      </c>
      <c r="K251" s="56">
        <v>42945</v>
      </c>
      <c r="L251" s="24">
        <v>151</v>
      </c>
    </row>
    <row r="252" spans="2:12" x14ac:dyDescent="0.2">
      <c r="B252" s="6" t="s">
        <v>193</v>
      </c>
      <c r="C252" s="9" t="s">
        <v>31</v>
      </c>
      <c r="D252" s="22">
        <v>42888</v>
      </c>
      <c r="E252" s="9">
        <v>1</v>
      </c>
      <c r="F252" s="9">
        <v>1</v>
      </c>
      <c r="G252" s="9">
        <v>0</v>
      </c>
      <c r="H252" s="9">
        <v>0</v>
      </c>
      <c r="I252" s="9">
        <v>0</v>
      </c>
      <c r="J252" s="9">
        <v>0</v>
      </c>
      <c r="K252" s="56">
        <v>42903</v>
      </c>
      <c r="L252" s="24">
        <v>150</v>
      </c>
    </row>
    <row r="253" spans="2:12" x14ac:dyDescent="0.2">
      <c r="B253" s="6" t="s">
        <v>388</v>
      </c>
      <c r="C253" s="9" t="s">
        <v>20</v>
      </c>
      <c r="D253" s="22">
        <v>42878</v>
      </c>
      <c r="E253" s="9">
        <v>1</v>
      </c>
      <c r="F253" s="9">
        <v>0</v>
      </c>
      <c r="G253" s="9">
        <v>1</v>
      </c>
      <c r="H253" s="9">
        <v>1</v>
      </c>
      <c r="I253" s="9">
        <v>0</v>
      </c>
      <c r="J253" s="9">
        <v>0</v>
      </c>
      <c r="K253" s="56">
        <v>42919</v>
      </c>
      <c r="L253" s="24">
        <v>150</v>
      </c>
    </row>
    <row r="254" spans="2:12" x14ac:dyDescent="0.2">
      <c r="B254" s="6" t="s">
        <v>458</v>
      </c>
      <c r="C254" s="9" t="s">
        <v>31</v>
      </c>
      <c r="D254" s="22">
        <v>42898</v>
      </c>
      <c r="E254" s="9">
        <v>1</v>
      </c>
      <c r="F254" s="9">
        <v>0</v>
      </c>
      <c r="G254" s="9">
        <v>1</v>
      </c>
      <c r="H254" s="9">
        <v>1</v>
      </c>
      <c r="I254" s="9">
        <v>0</v>
      </c>
      <c r="J254" s="9">
        <v>0</v>
      </c>
      <c r="K254" s="56">
        <v>42951</v>
      </c>
      <c r="L254" s="24">
        <v>148</v>
      </c>
    </row>
    <row r="255" spans="2:12" x14ac:dyDescent="0.2">
      <c r="B255" s="6" t="s">
        <v>401</v>
      </c>
      <c r="C255" s="9" t="s">
        <v>31</v>
      </c>
      <c r="D255" s="22">
        <v>42850</v>
      </c>
      <c r="E255" s="9">
        <v>1</v>
      </c>
      <c r="F255" s="9">
        <v>1</v>
      </c>
      <c r="G255" s="9">
        <v>0</v>
      </c>
      <c r="H255" s="9">
        <v>0</v>
      </c>
      <c r="I255" s="9">
        <v>0</v>
      </c>
      <c r="J255" s="9">
        <v>0</v>
      </c>
      <c r="K255" s="56">
        <v>42864</v>
      </c>
      <c r="L255" s="24">
        <v>146</v>
      </c>
    </row>
    <row r="256" spans="2:12" x14ac:dyDescent="0.2">
      <c r="B256" s="6" t="s">
        <v>643</v>
      </c>
      <c r="C256" s="9" t="s">
        <v>31</v>
      </c>
      <c r="D256" s="22">
        <v>42890</v>
      </c>
      <c r="E256" s="9">
        <v>1</v>
      </c>
      <c r="F256" s="9">
        <v>1</v>
      </c>
      <c r="G256" s="9">
        <v>0</v>
      </c>
      <c r="H256" s="9">
        <v>0</v>
      </c>
      <c r="I256" s="9">
        <v>0</v>
      </c>
      <c r="J256" s="9">
        <v>0</v>
      </c>
      <c r="K256" s="56">
        <v>42901</v>
      </c>
      <c r="L256" s="24">
        <v>145</v>
      </c>
    </row>
    <row r="257" spans="2:12" x14ac:dyDescent="0.2">
      <c r="B257" s="6" t="s">
        <v>307</v>
      </c>
      <c r="C257" s="9" t="s">
        <v>20</v>
      </c>
      <c r="D257" s="22">
        <v>42856</v>
      </c>
      <c r="E257" s="9">
        <v>1</v>
      </c>
      <c r="F257" s="9">
        <v>0</v>
      </c>
      <c r="G257" s="9">
        <v>1</v>
      </c>
      <c r="H257" s="9">
        <v>1</v>
      </c>
      <c r="I257" s="9">
        <v>0</v>
      </c>
      <c r="J257" s="9">
        <v>0</v>
      </c>
      <c r="K257" s="56">
        <v>42907</v>
      </c>
      <c r="L257" s="24">
        <v>145</v>
      </c>
    </row>
    <row r="258" spans="2:12" x14ac:dyDescent="0.2">
      <c r="B258" s="6" t="s">
        <v>685</v>
      </c>
      <c r="C258" s="9" t="s">
        <v>20</v>
      </c>
      <c r="D258" s="22">
        <v>42838</v>
      </c>
      <c r="E258" s="9">
        <v>1</v>
      </c>
      <c r="F258" s="9">
        <v>0</v>
      </c>
      <c r="G258" s="9">
        <v>1</v>
      </c>
      <c r="H258" s="9">
        <v>0</v>
      </c>
      <c r="I258" s="9">
        <v>1</v>
      </c>
      <c r="J258" s="9">
        <v>0</v>
      </c>
      <c r="K258" s="55"/>
      <c r="L258" s="24"/>
    </row>
    <row r="259" spans="2:12" x14ac:dyDescent="0.2">
      <c r="B259" s="6" t="s">
        <v>56</v>
      </c>
      <c r="C259" s="9" t="s">
        <v>31</v>
      </c>
      <c r="D259" s="22">
        <v>42877</v>
      </c>
      <c r="E259" s="9">
        <v>1</v>
      </c>
      <c r="F259" s="9">
        <v>0</v>
      </c>
      <c r="G259" s="9">
        <v>1</v>
      </c>
      <c r="H259" s="9">
        <v>0</v>
      </c>
      <c r="I259" s="9">
        <v>1</v>
      </c>
      <c r="J259" s="9">
        <v>0</v>
      </c>
      <c r="K259" s="55"/>
      <c r="L259" s="24"/>
    </row>
    <row r="260" spans="2:12" x14ac:dyDescent="0.2">
      <c r="B260" s="6" t="s">
        <v>435</v>
      </c>
      <c r="C260" s="9" t="s">
        <v>20</v>
      </c>
      <c r="D260" s="22">
        <v>42843</v>
      </c>
      <c r="E260" s="9">
        <v>1</v>
      </c>
      <c r="F260" s="9">
        <v>0</v>
      </c>
      <c r="G260" s="9">
        <v>1</v>
      </c>
      <c r="H260" s="9">
        <v>0</v>
      </c>
      <c r="I260" s="9">
        <v>1</v>
      </c>
      <c r="J260" s="9">
        <v>0</v>
      </c>
      <c r="K260" s="55"/>
      <c r="L260" s="24"/>
    </row>
    <row r="261" spans="2:12" x14ac:dyDescent="0.2">
      <c r="B261" s="6" t="s">
        <v>605</v>
      </c>
      <c r="C261" s="9" t="s">
        <v>20</v>
      </c>
      <c r="D261" s="22">
        <v>42844</v>
      </c>
      <c r="E261" s="9">
        <v>1</v>
      </c>
      <c r="F261" s="9">
        <v>0</v>
      </c>
      <c r="G261" s="9">
        <v>1</v>
      </c>
      <c r="H261" s="9">
        <v>0</v>
      </c>
      <c r="I261" s="9">
        <v>1</v>
      </c>
      <c r="J261" s="9">
        <v>0</v>
      </c>
      <c r="K261" s="55"/>
      <c r="L261" s="24"/>
    </row>
    <row r="262" spans="2:12" x14ac:dyDescent="0.2">
      <c r="B262" s="6" t="s">
        <v>40</v>
      </c>
      <c r="C262" s="9" t="s">
        <v>20</v>
      </c>
      <c r="D262" s="22">
        <v>42887</v>
      </c>
      <c r="E262" s="9">
        <v>1</v>
      </c>
      <c r="F262" s="9">
        <v>0</v>
      </c>
      <c r="G262" s="9">
        <v>1</v>
      </c>
      <c r="H262" s="9">
        <v>0</v>
      </c>
      <c r="I262" s="9">
        <v>1</v>
      </c>
      <c r="J262" s="9">
        <v>0</v>
      </c>
      <c r="K262" s="55"/>
      <c r="L262" s="24"/>
    </row>
    <row r="263" spans="2:12" x14ac:dyDescent="0.2">
      <c r="B263" s="6" t="s">
        <v>277</v>
      </c>
      <c r="C263" s="9" t="s">
        <v>31</v>
      </c>
      <c r="D263" s="22">
        <v>42902</v>
      </c>
      <c r="E263" s="9">
        <v>1</v>
      </c>
      <c r="F263" s="9">
        <v>0</v>
      </c>
      <c r="G263" s="9">
        <v>1</v>
      </c>
      <c r="H263" s="9">
        <v>0</v>
      </c>
      <c r="I263" s="9">
        <v>1</v>
      </c>
      <c r="J263" s="9">
        <v>0</v>
      </c>
      <c r="K263" s="55"/>
      <c r="L263" s="24"/>
    </row>
    <row r="264" spans="2:12" x14ac:dyDescent="0.2">
      <c r="B264" s="6" t="s">
        <v>253</v>
      </c>
      <c r="C264" s="9" t="s">
        <v>20</v>
      </c>
      <c r="D264" s="22">
        <v>42865</v>
      </c>
      <c r="E264" s="9">
        <v>1</v>
      </c>
      <c r="F264" s="9">
        <v>0</v>
      </c>
      <c r="G264" s="9">
        <v>1</v>
      </c>
      <c r="H264" s="9">
        <v>0</v>
      </c>
      <c r="I264" s="9">
        <v>1</v>
      </c>
      <c r="J264" s="9">
        <v>0</v>
      </c>
      <c r="K264" s="55"/>
      <c r="L264" s="24"/>
    </row>
    <row r="265" spans="2:12" x14ac:dyDescent="0.2">
      <c r="B265" s="6" t="s">
        <v>729</v>
      </c>
      <c r="C265" s="9" t="s">
        <v>31</v>
      </c>
      <c r="D265" s="22">
        <v>42877</v>
      </c>
      <c r="E265" s="9">
        <v>1</v>
      </c>
      <c r="F265" s="9">
        <v>0</v>
      </c>
      <c r="G265" s="9">
        <v>1</v>
      </c>
      <c r="H265" s="9">
        <v>0</v>
      </c>
      <c r="I265" s="9">
        <v>1</v>
      </c>
      <c r="J265" s="9">
        <v>0</v>
      </c>
      <c r="K265" s="55"/>
      <c r="L265" s="24"/>
    </row>
    <row r="266" spans="2:12" x14ac:dyDescent="0.2">
      <c r="B266" s="6" t="s">
        <v>768</v>
      </c>
      <c r="C266" s="9" t="s">
        <v>20</v>
      </c>
      <c r="D266" s="22">
        <v>42848</v>
      </c>
      <c r="E266" s="9">
        <v>1</v>
      </c>
      <c r="F266" s="9">
        <v>0</v>
      </c>
      <c r="G266" s="9">
        <v>1</v>
      </c>
      <c r="H266" s="9">
        <v>0</v>
      </c>
      <c r="I266" s="9">
        <v>1</v>
      </c>
      <c r="J266" s="9">
        <v>0</v>
      </c>
      <c r="K266" s="55"/>
      <c r="L266" s="24"/>
    </row>
    <row r="267" spans="2:12" x14ac:dyDescent="0.2">
      <c r="B267" s="6" t="s">
        <v>360</v>
      </c>
      <c r="C267" s="9" t="s">
        <v>20</v>
      </c>
      <c r="D267" s="22">
        <v>42850</v>
      </c>
      <c r="E267" s="9">
        <v>1</v>
      </c>
      <c r="F267" s="9">
        <v>0</v>
      </c>
      <c r="G267" s="9">
        <v>1</v>
      </c>
      <c r="H267" s="9">
        <v>0</v>
      </c>
      <c r="I267" s="9">
        <v>1</v>
      </c>
      <c r="J267" s="9">
        <v>0</v>
      </c>
      <c r="K267" s="55"/>
      <c r="L267" s="24"/>
    </row>
    <row r="268" spans="2:12" x14ac:dyDescent="0.2">
      <c r="B268" s="6" t="s">
        <v>686</v>
      </c>
      <c r="C268" s="9" t="s">
        <v>20</v>
      </c>
      <c r="D268" s="22">
        <v>42880</v>
      </c>
      <c r="E268" s="9">
        <v>1</v>
      </c>
      <c r="F268" s="9">
        <v>0</v>
      </c>
      <c r="G268" s="9">
        <v>1</v>
      </c>
      <c r="H268" s="9">
        <v>0</v>
      </c>
      <c r="I268" s="9">
        <v>1</v>
      </c>
      <c r="J268" s="9">
        <v>0</v>
      </c>
      <c r="K268" s="55"/>
      <c r="L268" s="24"/>
    </row>
    <row r="269" spans="2:12" x14ac:dyDescent="0.2">
      <c r="B269" s="6" t="s">
        <v>381</v>
      </c>
      <c r="C269" s="9" t="s">
        <v>31</v>
      </c>
      <c r="D269" s="22">
        <v>42916</v>
      </c>
      <c r="E269" s="9">
        <v>1</v>
      </c>
      <c r="F269" s="9">
        <v>0</v>
      </c>
      <c r="G269" s="9">
        <v>1</v>
      </c>
      <c r="H269" s="9">
        <v>0</v>
      </c>
      <c r="I269" s="9">
        <v>1</v>
      </c>
      <c r="J269" s="9">
        <v>0</v>
      </c>
      <c r="K269" s="55"/>
      <c r="L269" s="24"/>
    </row>
    <row r="270" spans="2:12" x14ac:dyDescent="0.2">
      <c r="B270" s="6" t="s">
        <v>241</v>
      </c>
      <c r="C270" s="9" t="s">
        <v>20</v>
      </c>
      <c r="D270" s="22">
        <v>42859</v>
      </c>
      <c r="E270" s="9">
        <v>1</v>
      </c>
      <c r="F270" s="9">
        <v>0</v>
      </c>
      <c r="G270" s="9">
        <v>1</v>
      </c>
      <c r="H270" s="9">
        <v>0</v>
      </c>
      <c r="I270" s="9">
        <v>1</v>
      </c>
      <c r="J270" s="9">
        <v>0</v>
      </c>
      <c r="K270" s="55"/>
      <c r="L270" s="24"/>
    </row>
    <row r="271" spans="2:12" x14ac:dyDescent="0.2">
      <c r="B271" s="6" t="s">
        <v>489</v>
      </c>
      <c r="C271" s="9" t="s">
        <v>31</v>
      </c>
      <c r="D271" s="22">
        <v>42873</v>
      </c>
      <c r="E271" s="9">
        <v>1</v>
      </c>
      <c r="F271" s="9">
        <v>0</v>
      </c>
      <c r="G271" s="9">
        <v>1</v>
      </c>
      <c r="H271" s="9">
        <v>0</v>
      </c>
      <c r="I271" s="9">
        <v>1</v>
      </c>
      <c r="J271" s="9">
        <v>0</v>
      </c>
      <c r="K271" s="55"/>
      <c r="L271" s="24"/>
    </row>
    <row r="272" spans="2:12" x14ac:dyDescent="0.2">
      <c r="B272" s="6" t="s">
        <v>170</v>
      </c>
      <c r="C272" s="9" t="s">
        <v>20</v>
      </c>
      <c r="D272" s="22">
        <v>42847</v>
      </c>
      <c r="E272" s="9">
        <v>1</v>
      </c>
      <c r="F272" s="9">
        <v>0</v>
      </c>
      <c r="G272" s="9">
        <v>1</v>
      </c>
      <c r="H272" s="9">
        <v>0</v>
      </c>
      <c r="I272" s="9">
        <v>1</v>
      </c>
      <c r="J272" s="9">
        <v>0</v>
      </c>
      <c r="K272" s="55"/>
      <c r="L272" s="24"/>
    </row>
    <row r="273" spans="2:12" x14ac:dyDescent="0.2">
      <c r="B273" s="6" t="s">
        <v>225</v>
      </c>
      <c r="C273" s="9" t="s">
        <v>20</v>
      </c>
      <c r="D273" s="22">
        <v>42909</v>
      </c>
      <c r="E273" s="9">
        <v>1</v>
      </c>
      <c r="F273" s="9">
        <v>0</v>
      </c>
      <c r="G273" s="9">
        <v>1</v>
      </c>
      <c r="H273" s="9">
        <v>0</v>
      </c>
      <c r="I273" s="9">
        <v>1</v>
      </c>
      <c r="J273" s="9">
        <v>0</v>
      </c>
      <c r="K273" s="55"/>
      <c r="L273" s="24"/>
    </row>
    <row r="274" spans="2:12" x14ac:dyDescent="0.2">
      <c r="B274" s="6" t="s">
        <v>282</v>
      </c>
      <c r="C274" s="9" t="s">
        <v>20</v>
      </c>
      <c r="D274" s="22">
        <v>42837</v>
      </c>
      <c r="E274" s="9">
        <v>1</v>
      </c>
      <c r="F274" s="9">
        <v>0</v>
      </c>
      <c r="G274" s="9">
        <v>1</v>
      </c>
      <c r="H274" s="9">
        <v>0</v>
      </c>
      <c r="I274" s="9">
        <v>1</v>
      </c>
      <c r="J274" s="9">
        <v>0</v>
      </c>
      <c r="K274" s="55"/>
      <c r="L274" s="24"/>
    </row>
    <row r="275" spans="2:12" x14ac:dyDescent="0.2">
      <c r="B275" s="6" t="s">
        <v>288</v>
      </c>
      <c r="C275" s="9" t="s">
        <v>20</v>
      </c>
      <c r="D275" s="22">
        <v>42844</v>
      </c>
      <c r="E275" s="9">
        <v>1</v>
      </c>
      <c r="F275" s="9">
        <v>0</v>
      </c>
      <c r="G275" s="9">
        <v>1</v>
      </c>
      <c r="H275" s="9">
        <v>0</v>
      </c>
      <c r="I275" s="9">
        <v>1</v>
      </c>
      <c r="J275" s="9">
        <v>0</v>
      </c>
      <c r="K275" s="55"/>
      <c r="L275" s="24"/>
    </row>
    <row r="276" spans="2:12" x14ac:dyDescent="0.2">
      <c r="B276" s="6" t="s">
        <v>665</v>
      </c>
      <c r="C276" s="9" t="s">
        <v>20</v>
      </c>
      <c r="D276" s="22">
        <v>42842</v>
      </c>
      <c r="E276" s="9">
        <v>1</v>
      </c>
      <c r="F276" s="9">
        <v>0</v>
      </c>
      <c r="G276" s="9">
        <v>1</v>
      </c>
      <c r="H276" s="9">
        <v>0</v>
      </c>
      <c r="I276" s="9">
        <v>1</v>
      </c>
      <c r="J276" s="9">
        <v>0</v>
      </c>
      <c r="K276" s="55"/>
      <c r="L276" s="24"/>
    </row>
    <row r="277" spans="2:12" x14ac:dyDescent="0.2">
      <c r="B277" s="6" t="s">
        <v>472</v>
      </c>
      <c r="C277" s="9" t="s">
        <v>31</v>
      </c>
      <c r="D277" s="22">
        <v>42903</v>
      </c>
      <c r="E277" s="9">
        <v>1</v>
      </c>
      <c r="F277" s="9">
        <v>0</v>
      </c>
      <c r="G277" s="9">
        <v>1</v>
      </c>
      <c r="H277" s="9">
        <v>0</v>
      </c>
      <c r="I277" s="9">
        <v>1</v>
      </c>
      <c r="J277" s="9">
        <v>0</v>
      </c>
      <c r="K277" s="55"/>
      <c r="L277" s="24"/>
    </row>
    <row r="278" spans="2:12" x14ac:dyDescent="0.2">
      <c r="B278" s="6" t="s">
        <v>411</v>
      </c>
      <c r="C278" s="9" t="s">
        <v>20</v>
      </c>
      <c r="D278" s="22">
        <v>42912</v>
      </c>
      <c r="E278" s="9">
        <v>1</v>
      </c>
      <c r="F278" s="9">
        <v>0</v>
      </c>
      <c r="G278" s="9">
        <v>1</v>
      </c>
      <c r="H278" s="9">
        <v>0</v>
      </c>
      <c r="I278" s="9">
        <v>1</v>
      </c>
      <c r="J278" s="9">
        <v>0</v>
      </c>
      <c r="K278" s="55"/>
      <c r="L278" s="24"/>
    </row>
    <row r="279" spans="2:12" x14ac:dyDescent="0.2">
      <c r="B279" s="6" t="s">
        <v>748</v>
      </c>
      <c r="C279" s="9" t="s">
        <v>20</v>
      </c>
      <c r="D279" s="22">
        <v>42829</v>
      </c>
      <c r="E279" s="9">
        <v>1</v>
      </c>
      <c r="F279" s="9">
        <v>0</v>
      </c>
      <c r="G279" s="9">
        <v>1</v>
      </c>
      <c r="H279" s="9">
        <v>0</v>
      </c>
      <c r="I279" s="9">
        <v>1</v>
      </c>
      <c r="J279" s="9">
        <v>0</v>
      </c>
      <c r="K279" s="55"/>
      <c r="L279" s="24"/>
    </row>
    <row r="280" spans="2:12" x14ac:dyDescent="0.2">
      <c r="B280" s="6" t="s">
        <v>521</v>
      </c>
      <c r="C280" s="9" t="s">
        <v>20</v>
      </c>
      <c r="D280" s="22">
        <v>42858</v>
      </c>
      <c r="E280" s="9">
        <v>1</v>
      </c>
      <c r="F280" s="9">
        <v>0</v>
      </c>
      <c r="G280" s="9">
        <v>1</v>
      </c>
      <c r="H280" s="9">
        <v>0</v>
      </c>
      <c r="I280" s="9">
        <v>1</v>
      </c>
      <c r="J280" s="9">
        <v>0</v>
      </c>
      <c r="K280" s="55"/>
      <c r="L280" s="24"/>
    </row>
    <row r="281" spans="2:12" x14ac:dyDescent="0.2">
      <c r="B281" s="6" t="s">
        <v>565</v>
      </c>
      <c r="C281" s="9" t="s">
        <v>20</v>
      </c>
      <c r="D281" s="22">
        <v>42889</v>
      </c>
      <c r="E281" s="9">
        <v>1</v>
      </c>
      <c r="F281" s="9">
        <v>0</v>
      </c>
      <c r="G281" s="9">
        <v>1</v>
      </c>
      <c r="H281" s="9">
        <v>0</v>
      </c>
      <c r="I281" s="9">
        <v>1</v>
      </c>
      <c r="J281" s="9">
        <v>0</v>
      </c>
      <c r="K281" s="55"/>
      <c r="L281" s="24"/>
    </row>
    <row r="282" spans="2:12" x14ac:dyDescent="0.2">
      <c r="B282" s="6" t="s">
        <v>412</v>
      </c>
      <c r="C282" s="9" t="s">
        <v>20</v>
      </c>
      <c r="D282" s="22">
        <v>42839</v>
      </c>
      <c r="E282" s="9">
        <v>1</v>
      </c>
      <c r="F282" s="9">
        <v>0</v>
      </c>
      <c r="G282" s="9">
        <v>1</v>
      </c>
      <c r="H282" s="9">
        <v>0</v>
      </c>
      <c r="I282" s="9">
        <v>1</v>
      </c>
      <c r="J282" s="9">
        <v>0</v>
      </c>
      <c r="K282" s="55"/>
      <c r="L282" s="24"/>
    </row>
    <row r="283" spans="2:12" x14ac:dyDescent="0.2">
      <c r="B283" s="6" t="s">
        <v>613</v>
      </c>
      <c r="C283" s="9" t="s">
        <v>31</v>
      </c>
      <c r="D283" s="22">
        <v>42836</v>
      </c>
      <c r="E283" s="9">
        <v>1</v>
      </c>
      <c r="F283" s="9">
        <v>0</v>
      </c>
      <c r="G283" s="9">
        <v>1</v>
      </c>
      <c r="H283" s="9">
        <v>0</v>
      </c>
      <c r="I283" s="9">
        <v>1</v>
      </c>
      <c r="J283" s="9">
        <v>0</v>
      </c>
      <c r="K283" s="55"/>
      <c r="L283" s="24"/>
    </row>
    <row r="284" spans="2:12" x14ac:dyDescent="0.2">
      <c r="B284" s="6" t="s">
        <v>50</v>
      </c>
      <c r="C284" s="9" t="s">
        <v>20</v>
      </c>
      <c r="D284" s="22">
        <v>42895</v>
      </c>
      <c r="E284" s="9">
        <v>1</v>
      </c>
      <c r="F284" s="9">
        <v>0</v>
      </c>
      <c r="G284" s="9">
        <v>1</v>
      </c>
      <c r="H284" s="9">
        <v>0</v>
      </c>
      <c r="I284" s="9">
        <v>1</v>
      </c>
      <c r="J284" s="9">
        <v>0</v>
      </c>
      <c r="K284" s="55"/>
      <c r="L284" s="24"/>
    </row>
    <row r="285" spans="2:12" x14ac:dyDescent="0.2">
      <c r="B285" s="6" t="s">
        <v>383</v>
      </c>
      <c r="C285" s="9" t="s">
        <v>31</v>
      </c>
      <c r="D285" s="22">
        <v>42889</v>
      </c>
      <c r="E285" s="9">
        <v>1</v>
      </c>
      <c r="F285" s="9">
        <v>0</v>
      </c>
      <c r="G285" s="9">
        <v>1</v>
      </c>
      <c r="H285" s="9">
        <v>0</v>
      </c>
      <c r="I285" s="9">
        <v>1</v>
      </c>
      <c r="J285" s="9">
        <v>0</v>
      </c>
      <c r="K285" s="55"/>
      <c r="L285" s="24"/>
    </row>
    <row r="286" spans="2:12" x14ac:dyDescent="0.2">
      <c r="B286" s="6" t="s">
        <v>699</v>
      </c>
      <c r="C286" s="9" t="s">
        <v>20</v>
      </c>
      <c r="D286" s="22">
        <v>42901</v>
      </c>
      <c r="E286" s="9">
        <v>1</v>
      </c>
      <c r="F286" s="9">
        <v>0</v>
      </c>
      <c r="G286" s="9">
        <v>1</v>
      </c>
      <c r="H286" s="9">
        <v>0</v>
      </c>
      <c r="I286" s="9">
        <v>1</v>
      </c>
      <c r="J286" s="9">
        <v>0</v>
      </c>
      <c r="K286" s="55"/>
      <c r="L286" s="24"/>
    </row>
    <row r="287" spans="2:12" x14ac:dyDescent="0.2">
      <c r="B287" s="6" t="s">
        <v>584</v>
      </c>
      <c r="C287" s="9" t="s">
        <v>20</v>
      </c>
      <c r="D287" s="22">
        <v>42845</v>
      </c>
      <c r="E287" s="9">
        <v>1</v>
      </c>
      <c r="F287" s="9">
        <v>0</v>
      </c>
      <c r="G287" s="9">
        <v>1</v>
      </c>
      <c r="H287" s="9">
        <v>0</v>
      </c>
      <c r="I287" s="9">
        <v>1</v>
      </c>
      <c r="J287" s="9">
        <v>0</v>
      </c>
      <c r="K287" s="55"/>
      <c r="L287" s="24"/>
    </row>
    <row r="288" spans="2:12" x14ac:dyDescent="0.2">
      <c r="B288" s="6" t="s">
        <v>441</v>
      </c>
      <c r="C288" s="9" t="s">
        <v>20</v>
      </c>
      <c r="D288" s="22">
        <v>42911</v>
      </c>
      <c r="E288" s="9">
        <v>1</v>
      </c>
      <c r="F288" s="9">
        <v>0</v>
      </c>
      <c r="G288" s="9">
        <v>1</v>
      </c>
      <c r="H288" s="9">
        <v>0</v>
      </c>
      <c r="I288" s="9">
        <v>1</v>
      </c>
      <c r="J288" s="9">
        <v>0</v>
      </c>
      <c r="K288" s="55"/>
      <c r="L288" s="24"/>
    </row>
    <row r="289" spans="2:12" x14ac:dyDescent="0.2">
      <c r="B289" s="6" t="s">
        <v>974</v>
      </c>
      <c r="C289" s="9" t="s">
        <v>20</v>
      </c>
      <c r="D289" s="22">
        <v>42859</v>
      </c>
      <c r="E289" s="9">
        <v>1</v>
      </c>
      <c r="F289" s="9">
        <v>0</v>
      </c>
      <c r="G289" s="9">
        <v>1</v>
      </c>
      <c r="H289" s="9">
        <v>0</v>
      </c>
      <c r="I289" s="9">
        <v>1</v>
      </c>
      <c r="J289" s="9">
        <v>0</v>
      </c>
      <c r="K289" s="55"/>
      <c r="L289" s="24"/>
    </row>
    <row r="290" spans="2:12" x14ac:dyDescent="0.2">
      <c r="B290" s="6" t="s">
        <v>759</v>
      </c>
      <c r="C290" s="9" t="s">
        <v>20</v>
      </c>
      <c r="D290" s="22">
        <v>42909</v>
      </c>
      <c r="E290" s="9">
        <v>1</v>
      </c>
      <c r="F290" s="9">
        <v>0</v>
      </c>
      <c r="G290" s="9">
        <v>1</v>
      </c>
      <c r="H290" s="9">
        <v>0</v>
      </c>
      <c r="I290" s="9">
        <v>1</v>
      </c>
      <c r="J290" s="9">
        <v>0</v>
      </c>
      <c r="K290" s="55"/>
      <c r="L290" s="24"/>
    </row>
    <row r="291" spans="2:12" x14ac:dyDescent="0.2">
      <c r="B291" s="6" t="s">
        <v>242</v>
      </c>
      <c r="C291" s="9" t="s">
        <v>20</v>
      </c>
      <c r="D291" s="22">
        <v>42838</v>
      </c>
      <c r="E291" s="9">
        <v>1</v>
      </c>
      <c r="F291" s="9">
        <v>0</v>
      </c>
      <c r="G291" s="9">
        <v>1</v>
      </c>
      <c r="H291" s="9">
        <v>0</v>
      </c>
      <c r="I291" s="9">
        <v>1</v>
      </c>
      <c r="J291" s="9">
        <v>0</v>
      </c>
      <c r="K291" s="55"/>
      <c r="L291" s="24"/>
    </row>
    <row r="292" spans="2:12" x14ac:dyDescent="0.2">
      <c r="B292" s="6" t="s">
        <v>125</v>
      </c>
      <c r="C292" s="9" t="s">
        <v>31</v>
      </c>
      <c r="D292" s="22">
        <v>42830</v>
      </c>
      <c r="E292" s="9">
        <v>1</v>
      </c>
      <c r="F292" s="9">
        <v>0</v>
      </c>
      <c r="G292" s="9">
        <v>1</v>
      </c>
      <c r="H292" s="9">
        <v>0</v>
      </c>
      <c r="I292" s="9">
        <v>1</v>
      </c>
      <c r="J292" s="9">
        <v>0</v>
      </c>
      <c r="K292" s="55"/>
      <c r="L292" s="24"/>
    </row>
    <row r="293" spans="2:12" x14ac:dyDescent="0.2">
      <c r="B293" s="6" t="s">
        <v>94</v>
      </c>
      <c r="C293" s="9" t="s">
        <v>31</v>
      </c>
      <c r="D293" s="22">
        <v>42869</v>
      </c>
      <c r="E293" s="9">
        <v>1</v>
      </c>
      <c r="F293" s="9">
        <v>0</v>
      </c>
      <c r="G293" s="9">
        <v>1</v>
      </c>
      <c r="H293" s="9">
        <v>0</v>
      </c>
      <c r="I293" s="9">
        <v>1</v>
      </c>
      <c r="J293" s="9">
        <v>0</v>
      </c>
      <c r="K293" s="55"/>
      <c r="L293" s="24"/>
    </row>
    <row r="294" spans="2:12" x14ac:dyDescent="0.2">
      <c r="B294" s="6" t="s">
        <v>217</v>
      </c>
      <c r="C294" s="9" t="s">
        <v>31</v>
      </c>
      <c r="D294" s="22">
        <v>42875</v>
      </c>
      <c r="E294" s="9">
        <v>1</v>
      </c>
      <c r="F294" s="9">
        <v>0</v>
      </c>
      <c r="G294" s="9">
        <v>1</v>
      </c>
      <c r="H294" s="9">
        <v>0</v>
      </c>
      <c r="I294" s="9">
        <v>1</v>
      </c>
      <c r="J294" s="9">
        <v>0</v>
      </c>
      <c r="K294" s="55"/>
      <c r="L294" s="24"/>
    </row>
    <row r="295" spans="2:12" x14ac:dyDescent="0.2">
      <c r="B295" s="6" t="s">
        <v>204</v>
      </c>
      <c r="C295" s="9" t="s">
        <v>20</v>
      </c>
      <c r="D295" s="22">
        <v>42837</v>
      </c>
      <c r="E295" s="9">
        <v>1</v>
      </c>
      <c r="F295" s="9">
        <v>0</v>
      </c>
      <c r="G295" s="9">
        <v>1</v>
      </c>
      <c r="H295" s="9">
        <v>0</v>
      </c>
      <c r="I295" s="9">
        <v>1</v>
      </c>
      <c r="J295" s="9">
        <v>0</v>
      </c>
      <c r="K295" s="55"/>
      <c r="L295" s="24"/>
    </row>
    <row r="296" spans="2:12" x14ac:dyDescent="0.2">
      <c r="B296" s="6" t="s">
        <v>236</v>
      </c>
      <c r="C296" s="9" t="s">
        <v>20</v>
      </c>
      <c r="D296" s="22">
        <v>42864</v>
      </c>
      <c r="E296" s="9">
        <v>1</v>
      </c>
      <c r="F296" s="9">
        <v>0</v>
      </c>
      <c r="G296" s="9">
        <v>1</v>
      </c>
      <c r="H296" s="9">
        <v>0</v>
      </c>
      <c r="I296" s="9">
        <v>1</v>
      </c>
      <c r="J296" s="9">
        <v>0</v>
      </c>
      <c r="K296" s="55"/>
      <c r="L296" s="24"/>
    </row>
    <row r="297" spans="2:12" x14ac:dyDescent="0.2">
      <c r="B297" s="6" t="s">
        <v>49</v>
      </c>
      <c r="C297" s="9" t="s">
        <v>31</v>
      </c>
      <c r="D297" s="22">
        <v>42901</v>
      </c>
      <c r="E297" s="9">
        <v>1</v>
      </c>
      <c r="F297" s="9">
        <v>0</v>
      </c>
      <c r="G297" s="9">
        <v>1</v>
      </c>
      <c r="H297" s="9">
        <v>0</v>
      </c>
      <c r="I297" s="9">
        <v>1</v>
      </c>
      <c r="J297" s="9">
        <v>0</v>
      </c>
      <c r="K297" s="55"/>
      <c r="L297" s="24"/>
    </row>
    <row r="298" spans="2:12" x14ac:dyDescent="0.2">
      <c r="B298" s="6" t="s">
        <v>518</v>
      </c>
      <c r="C298" s="9" t="s">
        <v>20</v>
      </c>
      <c r="D298" s="22">
        <v>42856</v>
      </c>
      <c r="E298" s="9">
        <v>1</v>
      </c>
      <c r="F298" s="9">
        <v>0</v>
      </c>
      <c r="G298" s="9">
        <v>1</v>
      </c>
      <c r="H298" s="9">
        <v>0</v>
      </c>
      <c r="I298" s="9">
        <v>1</v>
      </c>
      <c r="J298" s="9">
        <v>0</v>
      </c>
      <c r="K298" s="55"/>
      <c r="L298" s="24"/>
    </row>
    <row r="299" spans="2:12" x14ac:dyDescent="0.2">
      <c r="B299" s="6" t="s">
        <v>153</v>
      </c>
      <c r="C299" s="9" t="s">
        <v>20</v>
      </c>
      <c r="D299" s="22">
        <v>42857</v>
      </c>
      <c r="E299" s="9">
        <v>1</v>
      </c>
      <c r="F299" s="9">
        <v>0</v>
      </c>
      <c r="G299" s="9">
        <v>1</v>
      </c>
      <c r="H299" s="9">
        <v>0</v>
      </c>
      <c r="I299" s="9">
        <v>1</v>
      </c>
      <c r="J299" s="9">
        <v>0</v>
      </c>
      <c r="K299" s="55"/>
      <c r="L299" s="24"/>
    </row>
    <row r="300" spans="2:12" x14ac:dyDescent="0.2">
      <c r="B300" s="6" t="s">
        <v>427</v>
      </c>
      <c r="C300" s="9" t="s">
        <v>31</v>
      </c>
      <c r="D300" s="22">
        <v>42843</v>
      </c>
      <c r="E300" s="9">
        <v>1</v>
      </c>
      <c r="F300" s="9">
        <v>0</v>
      </c>
      <c r="G300" s="9">
        <v>1</v>
      </c>
      <c r="H300" s="9">
        <v>0</v>
      </c>
      <c r="I300" s="9">
        <v>1</v>
      </c>
      <c r="J300" s="9">
        <v>0</v>
      </c>
      <c r="K300" s="55"/>
      <c r="L300" s="24"/>
    </row>
    <row r="301" spans="2:12" x14ac:dyDescent="0.2">
      <c r="B301" s="6" t="s">
        <v>144</v>
      </c>
      <c r="C301" s="9" t="s">
        <v>20</v>
      </c>
      <c r="D301" s="22">
        <v>42910</v>
      </c>
      <c r="E301" s="9">
        <v>1</v>
      </c>
      <c r="F301" s="9">
        <v>0</v>
      </c>
      <c r="G301" s="9">
        <v>1</v>
      </c>
      <c r="H301" s="9">
        <v>0</v>
      </c>
      <c r="I301" s="9">
        <v>1</v>
      </c>
      <c r="J301" s="9">
        <v>0</v>
      </c>
      <c r="K301" s="55"/>
      <c r="L301" s="24"/>
    </row>
    <row r="302" spans="2:12" x14ac:dyDescent="0.2">
      <c r="B302" s="6" t="s">
        <v>159</v>
      </c>
      <c r="C302" s="9" t="s">
        <v>20</v>
      </c>
      <c r="D302" s="22">
        <v>42889</v>
      </c>
      <c r="E302" s="9">
        <v>1</v>
      </c>
      <c r="F302" s="9">
        <v>0</v>
      </c>
      <c r="G302" s="9">
        <v>1</v>
      </c>
      <c r="H302" s="9">
        <v>0</v>
      </c>
      <c r="I302" s="9">
        <v>1</v>
      </c>
      <c r="J302" s="9">
        <v>0</v>
      </c>
      <c r="K302" s="55"/>
      <c r="L302" s="24"/>
    </row>
    <row r="303" spans="2:12" x14ac:dyDescent="0.2">
      <c r="B303" s="6" t="s">
        <v>41</v>
      </c>
      <c r="C303" s="9" t="s">
        <v>31</v>
      </c>
      <c r="D303" s="22">
        <v>42845</v>
      </c>
      <c r="E303" s="9">
        <v>1</v>
      </c>
      <c r="F303" s="9">
        <v>0</v>
      </c>
      <c r="G303" s="9">
        <v>1</v>
      </c>
      <c r="H303" s="9">
        <v>0</v>
      </c>
      <c r="I303" s="9">
        <v>1</v>
      </c>
      <c r="J303" s="9">
        <v>0</v>
      </c>
      <c r="K303" s="55"/>
      <c r="L303" s="24"/>
    </row>
    <row r="304" spans="2:12" x14ac:dyDescent="0.2">
      <c r="B304" s="6" t="s">
        <v>560</v>
      </c>
      <c r="C304" s="9" t="s">
        <v>31</v>
      </c>
      <c r="D304" s="22">
        <v>42829</v>
      </c>
      <c r="E304" s="9">
        <v>1</v>
      </c>
      <c r="F304" s="9">
        <v>0</v>
      </c>
      <c r="G304" s="9">
        <v>1</v>
      </c>
      <c r="H304" s="9">
        <v>0</v>
      </c>
      <c r="I304" s="9">
        <v>1</v>
      </c>
      <c r="J304" s="9">
        <v>0</v>
      </c>
      <c r="K304" s="55"/>
      <c r="L304" s="24"/>
    </row>
    <row r="305" spans="2:12" x14ac:dyDescent="0.2">
      <c r="B305" s="6" t="s">
        <v>308</v>
      </c>
      <c r="C305" s="9" t="s">
        <v>20</v>
      </c>
      <c r="D305" s="22">
        <v>42902</v>
      </c>
      <c r="E305" s="9">
        <v>1</v>
      </c>
      <c r="F305" s="9">
        <v>0</v>
      </c>
      <c r="G305" s="9">
        <v>1</v>
      </c>
      <c r="H305" s="9">
        <v>0</v>
      </c>
      <c r="I305" s="9">
        <v>1</v>
      </c>
      <c r="J305" s="9">
        <v>0</v>
      </c>
      <c r="K305" s="55"/>
      <c r="L305" s="24"/>
    </row>
    <row r="306" spans="2:12" x14ac:dyDescent="0.2">
      <c r="B306" s="6" t="s">
        <v>273</v>
      </c>
      <c r="C306" s="9" t="s">
        <v>31</v>
      </c>
      <c r="D306" s="22">
        <v>42878</v>
      </c>
      <c r="E306" s="9">
        <v>1</v>
      </c>
      <c r="F306" s="9">
        <v>0</v>
      </c>
      <c r="G306" s="9">
        <v>1</v>
      </c>
      <c r="H306" s="9">
        <v>0</v>
      </c>
      <c r="I306" s="9">
        <v>1</v>
      </c>
      <c r="J306" s="9">
        <v>0</v>
      </c>
      <c r="K306" s="55"/>
      <c r="L306" s="24"/>
    </row>
    <row r="307" spans="2:12" x14ac:dyDescent="0.2">
      <c r="B307" s="6" t="s">
        <v>593</v>
      </c>
      <c r="C307" s="9" t="s">
        <v>20</v>
      </c>
      <c r="D307" s="22">
        <v>42862</v>
      </c>
      <c r="E307" s="9">
        <v>1</v>
      </c>
      <c r="F307" s="9">
        <v>0</v>
      </c>
      <c r="G307" s="9">
        <v>1</v>
      </c>
      <c r="H307" s="9">
        <v>0</v>
      </c>
      <c r="I307" s="9">
        <v>1</v>
      </c>
      <c r="J307" s="9">
        <v>0</v>
      </c>
      <c r="K307" s="55"/>
      <c r="L307" s="24"/>
    </row>
    <row r="308" spans="2:12" x14ac:dyDescent="0.2">
      <c r="B308" s="6" t="s">
        <v>154</v>
      </c>
      <c r="C308" s="9" t="s">
        <v>31</v>
      </c>
      <c r="D308" s="22">
        <v>42835</v>
      </c>
      <c r="E308" s="9">
        <v>1</v>
      </c>
      <c r="F308" s="9">
        <v>0</v>
      </c>
      <c r="G308" s="9">
        <v>1</v>
      </c>
      <c r="H308" s="9">
        <v>0</v>
      </c>
      <c r="I308" s="9">
        <v>1</v>
      </c>
      <c r="J308" s="9">
        <v>0</v>
      </c>
      <c r="K308" s="55"/>
      <c r="L308" s="24"/>
    </row>
    <row r="309" spans="2:12" x14ac:dyDescent="0.2">
      <c r="B309" s="6" t="s">
        <v>735</v>
      </c>
      <c r="C309" s="9" t="s">
        <v>31</v>
      </c>
      <c r="D309" s="22">
        <v>42836</v>
      </c>
      <c r="E309" s="9">
        <v>1</v>
      </c>
      <c r="F309" s="9">
        <v>0</v>
      </c>
      <c r="G309" s="9">
        <v>1</v>
      </c>
      <c r="H309" s="9">
        <v>0</v>
      </c>
      <c r="I309" s="9">
        <v>1</v>
      </c>
      <c r="J309" s="9">
        <v>0</v>
      </c>
      <c r="K309" s="55"/>
      <c r="L309" s="24"/>
    </row>
    <row r="310" spans="2:12" x14ac:dyDescent="0.2">
      <c r="B310" s="6" t="s">
        <v>611</v>
      </c>
      <c r="C310" s="9" t="s">
        <v>31</v>
      </c>
      <c r="D310" s="22">
        <v>42850</v>
      </c>
      <c r="E310" s="9">
        <v>1</v>
      </c>
      <c r="F310" s="9">
        <v>0</v>
      </c>
      <c r="G310" s="9">
        <v>1</v>
      </c>
      <c r="H310" s="9">
        <v>0</v>
      </c>
      <c r="I310" s="9">
        <v>1</v>
      </c>
      <c r="J310" s="9">
        <v>0</v>
      </c>
      <c r="K310" s="55"/>
      <c r="L310" s="24"/>
    </row>
    <row r="311" spans="2:12" x14ac:dyDescent="0.2">
      <c r="B311" s="6" t="s">
        <v>161</v>
      </c>
      <c r="C311" s="9" t="s">
        <v>20</v>
      </c>
      <c r="D311" s="22">
        <v>42852</v>
      </c>
      <c r="E311" s="9">
        <v>1</v>
      </c>
      <c r="F311" s="9">
        <v>0</v>
      </c>
      <c r="G311" s="9">
        <v>1</v>
      </c>
      <c r="H311" s="9">
        <v>0</v>
      </c>
      <c r="I311" s="9">
        <v>1</v>
      </c>
      <c r="J311" s="9">
        <v>0</v>
      </c>
      <c r="K311" s="55"/>
      <c r="L311" s="24"/>
    </row>
    <row r="312" spans="2:12" x14ac:dyDescent="0.2">
      <c r="B312" s="6" t="s">
        <v>717</v>
      </c>
      <c r="C312" s="9" t="s">
        <v>20</v>
      </c>
      <c r="D312" s="22">
        <v>42881</v>
      </c>
      <c r="E312" s="9">
        <v>1</v>
      </c>
      <c r="F312" s="9">
        <v>0</v>
      </c>
      <c r="G312" s="9">
        <v>1</v>
      </c>
      <c r="H312" s="9">
        <v>0</v>
      </c>
      <c r="I312" s="9">
        <v>1</v>
      </c>
      <c r="J312" s="9">
        <v>0</v>
      </c>
      <c r="K312" s="55"/>
      <c r="L312" s="24"/>
    </row>
    <row r="313" spans="2:12" x14ac:dyDescent="0.2">
      <c r="B313" s="6" t="s">
        <v>187</v>
      </c>
      <c r="C313" s="9" t="s">
        <v>31</v>
      </c>
      <c r="D313" s="22">
        <v>42870</v>
      </c>
      <c r="E313" s="9">
        <v>1</v>
      </c>
      <c r="F313" s="9">
        <v>0</v>
      </c>
      <c r="G313" s="9">
        <v>1</v>
      </c>
      <c r="H313" s="9">
        <v>0</v>
      </c>
      <c r="I313" s="9">
        <v>1</v>
      </c>
      <c r="J313" s="9">
        <v>0</v>
      </c>
      <c r="K313" s="55"/>
      <c r="L313" s="24"/>
    </row>
    <row r="314" spans="2:12" x14ac:dyDescent="0.2">
      <c r="B314" s="6" t="s">
        <v>121</v>
      </c>
      <c r="C314" s="9" t="s">
        <v>31</v>
      </c>
      <c r="D314" s="22">
        <v>42896</v>
      </c>
      <c r="E314" s="9">
        <v>1</v>
      </c>
      <c r="F314" s="9">
        <v>0</v>
      </c>
      <c r="G314" s="9">
        <v>1</v>
      </c>
      <c r="H314" s="9">
        <v>0</v>
      </c>
      <c r="I314" s="9">
        <v>1</v>
      </c>
      <c r="J314" s="9">
        <v>0</v>
      </c>
      <c r="K314" s="55"/>
      <c r="L314" s="24"/>
    </row>
    <row r="315" spans="2:12" x14ac:dyDescent="0.2">
      <c r="B315" s="6" t="s">
        <v>72</v>
      </c>
      <c r="C315" s="9" t="s">
        <v>31</v>
      </c>
      <c r="D315" s="22">
        <v>42839</v>
      </c>
      <c r="E315" s="9">
        <v>1</v>
      </c>
      <c r="F315" s="9">
        <v>0</v>
      </c>
      <c r="G315" s="9">
        <v>1</v>
      </c>
      <c r="H315" s="9">
        <v>0</v>
      </c>
      <c r="I315" s="9">
        <v>1</v>
      </c>
      <c r="J315" s="9">
        <v>0</v>
      </c>
      <c r="K315" s="55"/>
      <c r="L315" s="24"/>
    </row>
    <row r="316" spans="2:12" x14ac:dyDescent="0.2">
      <c r="B316" s="6" t="s">
        <v>778</v>
      </c>
      <c r="C316" s="9" t="s">
        <v>31</v>
      </c>
      <c r="D316" s="22">
        <v>42881</v>
      </c>
      <c r="E316" s="9">
        <v>1</v>
      </c>
      <c r="F316" s="9">
        <v>0</v>
      </c>
      <c r="G316" s="9">
        <v>1</v>
      </c>
      <c r="H316" s="9">
        <v>0</v>
      </c>
      <c r="I316" s="9">
        <v>1</v>
      </c>
      <c r="J316" s="9">
        <v>0</v>
      </c>
      <c r="K316" s="55"/>
      <c r="L316" s="24"/>
    </row>
    <row r="317" spans="2:12" x14ac:dyDescent="0.2">
      <c r="B317" s="6" t="s">
        <v>478</v>
      </c>
      <c r="C317" s="9" t="s">
        <v>20</v>
      </c>
      <c r="D317" s="22">
        <v>42844</v>
      </c>
      <c r="E317" s="9">
        <v>1</v>
      </c>
      <c r="F317" s="9">
        <v>0</v>
      </c>
      <c r="G317" s="9">
        <v>1</v>
      </c>
      <c r="H317" s="9">
        <v>0</v>
      </c>
      <c r="I317" s="9">
        <v>1</v>
      </c>
      <c r="J317" s="9">
        <v>0</v>
      </c>
      <c r="K317" s="55"/>
      <c r="L317" s="24"/>
    </row>
    <row r="318" spans="2:12" x14ac:dyDescent="0.2">
      <c r="B318" s="6" t="s">
        <v>720</v>
      </c>
      <c r="C318" s="9" t="s">
        <v>20</v>
      </c>
      <c r="D318" s="22">
        <v>42907</v>
      </c>
      <c r="E318" s="9">
        <v>1</v>
      </c>
      <c r="F318" s="9">
        <v>0</v>
      </c>
      <c r="G318" s="9">
        <v>1</v>
      </c>
      <c r="H318" s="9">
        <v>0</v>
      </c>
      <c r="I318" s="9">
        <v>1</v>
      </c>
      <c r="J318" s="9">
        <v>0</v>
      </c>
      <c r="K318" s="55"/>
      <c r="L318" s="24"/>
    </row>
    <row r="319" spans="2:12" x14ac:dyDescent="0.2">
      <c r="B319" s="6" t="s">
        <v>175</v>
      </c>
      <c r="C319" s="9" t="s">
        <v>31</v>
      </c>
      <c r="D319" s="22">
        <v>42881</v>
      </c>
      <c r="E319" s="9">
        <v>1</v>
      </c>
      <c r="F319" s="9">
        <v>0</v>
      </c>
      <c r="G319" s="9">
        <v>1</v>
      </c>
      <c r="H319" s="9">
        <v>0</v>
      </c>
      <c r="I319" s="9">
        <v>1</v>
      </c>
      <c r="J319" s="9">
        <v>0</v>
      </c>
      <c r="K319" s="55"/>
      <c r="L319" s="24"/>
    </row>
    <row r="320" spans="2:12" x14ac:dyDescent="0.2">
      <c r="B320" s="6" t="s">
        <v>272</v>
      </c>
      <c r="C320" s="9" t="s">
        <v>20</v>
      </c>
      <c r="D320" s="22">
        <v>42846</v>
      </c>
      <c r="E320" s="9">
        <v>1</v>
      </c>
      <c r="F320" s="9">
        <v>0</v>
      </c>
      <c r="G320" s="9">
        <v>1</v>
      </c>
      <c r="H320" s="9">
        <v>0</v>
      </c>
      <c r="I320" s="9">
        <v>1</v>
      </c>
      <c r="J320" s="9">
        <v>0</v>
      </c>
      <c r="K320" s="55"/>
      <c r="L320" s="24"/>
    </row>
    <row r="321" spans="2:12" x14ac:dyDescent="0.2">
      <c r="B321" s="6" t="s">
        <v>626</v>
      </c>
      <c r="C321" s="9" t="s">
        <v>20</v>
      </c>
      <c r="D321" s="22">
        <v>42893</v>
      </c>
      <c r="E321" s="9">
        <v>1</v>
      </c>
      <c r="F321" s="9">
        <v>0</v>
      </c>
      <c r="G321" s="9">
        <v>1</v>
      </c>
      <c r="H321" s="9">
        <v>0</v>
      </c>
      <c r="I321" s="9">
        <v>1</v>
      </c>
      <c r="J321" s="9">
        <v>0</v>
      </c>
      <c r="K321" s="55"/>
      <c r="L321" s="24"/>
    </row>
    <row r="322" spans="2:12" x14ac:dyDescent="0.2">
      <c r="B322" s="6" t="s">
        <v>134</v>
      </c>
      <c r="C322" s="9" t="s">
        <v>31</v>
      </c>
      <c r="D322" s="22">
        <v>42905</v>
      </c>
      <c r="E322" s="9">
        <v>1</v>
      </c>
      <c r="F322" s="9">
        <v>0</v>
      </c>
      <c r="G322" s="9">
        <v>1</v>
      </c>
      <c r="H322" s="9">
        <v>0</v>
      </c>
      <c r="I322" s="9">
        <v>1</v>
      </c>
      <c r="J322" s="9">
        <v>0</v>
      </c>
      <c r="K322" s="55"/>
      <c r="L322" s="24"/>
    </row>
    <row r="323" spans="2:12" x14ac:dyDescent="0.2">
      <c r="B323" s="6" t="s">
        <v>75</v>
      </c>
      <c r="C323" s="9" t="s">
        <v>20</v>
      </c>
      <c r="D323" s="22">
        <v>42907</v>
      </c>
      <c r="E323" s="9">
        <v>1</v>
      </c>
      <c r="F323" s="9">
        <v>0</v>
      </c>
      <c r="G323" s="9">
        <v>1</v>
      </c>
      <c r="H323" s="9">
        <v>0</v>
      </c>
      <c r="I323" s="9">
        <v>1</v>
      </c>
      <c r="J323" s="9">
        <v>0</v>
      </c>
      <c r="K323" s="55"/>
      <c r="L323" s="24"/>
    </row>
    <row r="324" spans="2:12" x14ac:dyDescent="0.2">
      <c r="B324" s="6" t="s">
        <v>770</v>
      </c>
      <c r="C324" s="9" t="s">
        <v>20</v>
      </c>
      <c r="D324" s="22">
        <v>42844</v>
      </c>
      <c r="E324" s="9">
        <v>1</v>
      </c>
      <c r="F324" s="9">
        <v>0</v>
      </c>
      <c r="G324" s="9">
        <v>1</v>
      </c>
      <c r="H324" s="9">
        <v>0</v>
      </c>
      <c r="I324" s="9">
        <v>1</v>
      </c>
      <c r="J324" s="9">
        <v>0</v>
      </c>
      <c r="K324" s="55"/>
      <c r="L324" s="24"/>
    </row>
    <row r="325" spans="2:12" x14ac:dyDescent="0.2">
      <c r="B325" s="6" t="s">
        <v>758</v>
      </c>
      <c r="C325" s="9" t="s">
        <v>20</v>
      </c>
      <c r="D325" s="22">
        <v>42837</v>
      </c>
      <c r="E325" s="9">
        <v>1</v>
      </c>
      <c r="F325" s="9">
        <v>0</v>
      </c>
      <c r="G325" s="9">
        <v>1</v>
      </c>
      <c r="H325" s="9">
        <v>0</v>
      </c>
      <c r="I325" s="9">
        <v>1</v>
      </c>
      <c r="J325" s="9">
        <v>0</v>
      </c>
      <c r="K325" s="55"/>
      <c r="L325" s="24"/>
    </row>
    <row r="326" spans="2:12" x14ac:dyDescent="0.2">
      <c r="B326" s="6" t="s">
        <v>563</v>
      </c>
      <c r="C326" s="9" t="s">
        <v>20</v>
      </c>
      <c r="D326" s="22">
        <v>42872</v>
      </c>
      <c r="E326" s="9">
        <v>1</v>
      </c>
      <c r="F326" s="9">
        <v>0</v>
      </c>
      <c r="G326" s="9">
        <v>1</v>
      </c>
      <c r="H326" s="9">
        <v>0</v>
      </c>
      <c r="I326" s="9">
        <v>1</v>
      </c>
      <c r="J326" s="9">
        <v>0</v>
      </c>
      <c r="K326" s="55"/>
      <c r="L326" s="24"/>
    </row>
    <row r="327" spans="2:12" x14ac:dyDescent="0.2">
      <c r="B327" s="6" t="s">
        <v>470</v>
      </c>
      <c r="C327" s="9" t="s">
        <v>31</v>
      </c>
      <c r="D327" s="22">
        <v>42840</v>
      </c>
      <c r="E327" s="9">
        <v>1</v>
      </c>
      <c r="F327" s="9">
        <v>0</v>
      </c>
      <c r="G327" s="9">
        <v>1</v>
      </c>
      <c r="H327" s="9">
        <v>0</v>
      </c>
      <c r="I327" s="9">
        <v>1</v>
      </c>
      <c r="J327" s="9">
        <v>0</v>
      </c>
      <c r="K327" s="55"/>
      <c r="L327" s="24"/>
    </row>
    <row r="328" spans="2:12" x14ac:dyDescent="0.2">
      <c r="B328" s="6" t="s">
        <v>471</v>
      </c>
      <c r="C328" s="9" t="s">
        <v>20</v>
      </c>
      <c r="D328" s="22">
        <v>42867</v>
      </c>
      <c r="E328" s="9">
        <v>1</v>
      </c>
      <c r="F328" s="9">
        <v>0</v>
      </c>
      <c r="G328" s="9">
        <v>1</v>
      </c>
      <c r="H328" s="9">
        <v>0</v>
      </c>
      <c r="I328" s="9">
        <v>1</v>
      </c>
      <c r="J328" s="9">
        <v>0</v>
      </c>
      <c r="K328" s="55"/>
      <c r="L328" s="24"/>
    </row>
    <row r="329" spans="2:12" x14ac:dyDescent="0.2">
      <c r="B329" s="6" t="s">
        <v>534</v>
      </c>
      <c r="C329" s="9" t="s">
        <v>31</v>
      </c>
      <c r="D329" s="22">
        <v>42849</v>
      </c>
      <c r="E329" s="9">
        <v>1</v>
      </c>
      <c r="F329" s="9">
        <v>0</v>
      </c>
      <c r="G329" s="9">
        <v>1</v>
      </c>
      <c r="H329" s="9">
        <v>0</v>
      </c>
      <c r="I329" s="9">
        <v>1</v>
      </c>
      <c r="J329" s="9">
        <v>0</v>
      </c>
      <c r="K329" s="55"/>
      <c r="L329" s="24"/>
    </row>
    <row r="330" spans="2:12" x14ac:dyDescent="0.2">
      <c r="B330" s="6" t="s">
        <v>408</v>
      </c>
      <c r="C330" s="9" t="s">
        <v>20</v>
      </c>
      <c r="D330" s="22">
        <v>42835</v>
      </c>
      <c r="E330" s="9">
        <v>1</v>
      </c>
      <c r="F330" s="9">
        <v>0</v>
      </c>
      <c r="G330" s="9">
        <v>1</v>
      </c>
      <c r="H330" s="9">
        <v>0</v>
      </c>
      <c r="I330" s="9">
        <v>1</v>
      </c>
      <c r="J330" s="9">
        <v>0</v>
      </c>
      <c r="K330" s="55"/>
      <c r="L330" s="24"/>
    </row>
    <row r="331" spans="2:12" x14ac:dyDescent="0.2">
      <c r="B331" s="6" t="s">
        <v>69</v>
      </c>
      <c r="C331" s="9" t="s">
        <v>20</v>
      </c>
      <c r="D331" s="22">
        <v>42904</v>
      </c>
      <c r="E331" s="9">
        <v>1</v>
      </c>
      <c r="F331" s="9">
        <v>0</v>
      </c>
      <c r="G331" s="9">
        <v>1</v>
      </c>
      <c r="H331" s="9">
        <v>0</v>
      </c>
      <c r="I331" s="9">
        <v>1</v>
      </c>
      <c r="J331" s="9">
        <v>0</v>
      </c>
      <c r="K331" s="55"/>
      <c r="L331" s="24"/>
    </row>
    <row r="332" spans="2:12" x14ac:dyDescent="0.2">
      <c r="B332" s="6" t="s">
        <v>51</v>
      </c>
      <c r="C332" s="9" t="s">
        <v>20</v>
      </c>
      <c r="D332" s="22">
        <v>42877</v>
      </c>
      <c r="E332" s="9">
        <v>1</v>
      </c>
      <c r="F332" s="9">
        <v>0</v>
      </c>
      <c r="G332" s="9">
        <v>1</v>
      </c>
      <c r="H332" s="9">
        <v>0</v>
      </c>
      <c r="I332" s="9">
        <v>1</v>
      </c>
      <c r="J332" s="9">
        <v>0</v>
      </c>
      <c r="K332" s="55"/>
      <c r="L332" s="24"/>
    </row>
    <row r="333" spans="2:12" x14ac:dyDescent="0.2">
      <c r="B333" s="6" t="s">
        <v>455</v>
      </c>
      <c r="C333" s="9" t="s">
        <v>31</v>
      </c>
      <c r="D333" s="22">
        <v>42832</v>
      </c>
      <c r="E333" s="9">
        <v>1</v>
      </c>
      <c r="F333" s="9">
        <v>0</v>
      </c>
      <c r="G333" s="9">
        <v>1</v>
      </c>
      <c r="H333" s="9">
        <v>0</v>
      </c>
      <c r="I333" s="9">
        <v>1</v>
      </c>
      <c r="J333" s="9">
        <v>0</v>
      </c>
      <c r="K333" s="55"/>
      <c r="L333" s="24"/>
    </row>
    <row r="334" spans="2:12" x14ac:dyDescent="0.2">
      <c r="B334" s="6" t="s">
        <v>317</v>
      </c>
      <c r="C334" s="9" t="s">
        <v>31</v>
      </c>
      <c r="D334" s="22">
        <v>42900</v>
      </c>
      <c r="E334" s="9">
        <v>1</v>
      </c>
      <c r="F334" s="9">
        <v>0</v>
      </c>
      <c r="G334" s="9">
        <v>1</v>
      </c>
      <c r="H334" s="9">
        <v>0</v>
      </c>
      <c r="I334" s="9">
        <v>1</v>
      </c>
      <c r="J334" s="9">
        <v>0</v>
      </c>
      <c r="K334" s="55"/>
      <c r="L334" s="24"/>
    </row>
    <row r="335" spans="2:12" x14ac:dyDescent="0.2">
      <c r="B335" s="6" t="s">
        <v>92</v>
      </c>
      <c r="C335" s="9" t="s">
        <v>20</v>
      </c>
      <c r="D335" s="22">
        <v>42838</v>
      </c>
      <c r="E335" s="9">
        <v>1</v>
      </c>
      <c r="F335" s="9">
        <v>0</v>
      </c>
      <c r="G335" s="9">
        <v>1</v>
      </c>
      <c r="H335" s="9">
        <v>0</v>
      </c>
      <c r="I335" s="9">
        <v>1</v>
      </c>
      <c r="J335" s="9">
        <v>0</v>
      </c>
      <c r="K335" s="55"/>
      <c r="L335" s="24"/>
    </row>
    <row r="336" spans="2:12" x14ac:dyDescent="0.2">
      <c r="B336" s="6" t="s">
        <v>774</v>
      </c>
      <c r="C336" s="9" t="s">
        <v>20</v>
      </c>
      <c r="D336" s="22">
        <v>42906</v>
      </c>
      <c r="E336" s="9">
        <v>1</v>
      </c>
      <c r="F336" s="9">
        <v>0</v>
      </c>
      <c r="G336" s="9">
        <v>1</v>
      </c>
      <c r="H336" s="9">
        <v>0</v>
      </c>
      <c r="I336" s="9">
        <v>1</v>
      </c>
      <c r="J336" s="9">
        <v>0</v>
      </c>
      <c r="K336" s="55"/>
      <c r="L336" s="24"/>
    </row>
    <row r="337" spans="2:12" x14ac:dyDescent="0.2">
      <c r="B337" s="6" t="s">
        <v>341</v>
      </c>
      <c r="C337" s="9" t="s">
        <v>20</v>
      </c>
      <c r="D337" s="22">
        <v>42873</v>
      </c>
      <c r="E337" s="9">
        <v>1</v>
      </c>
      <c r="F337" s="9">
        <v>0</v>
      </c>
      <c r="G337" s="9">
        <v>1</v>
      </c>
      <c r="H337" s="9">
        <v>0</v>
      </c>
      <c r="I337" s="9">
        <v>1</v>
      </c>
      <c r="J337" s="9">
        <v>0</v>
      </c>
      <c r="K337" s="55"/>
      <c r="L337" s="24"/>
    </row>
    <row r="338" spans="2:12" x14ac:dyDescent="0.2">
      <c r="B338" s="6" t="s">
        <v>708</v>
      </c>
      <c r="C338" s="9" t="s">
        <v>31</v>
      </c>
      <c r="D338" s="22">
        <v>42843</v>
      </c>
      <c r="E338" s="9">
        <v>1</v>
      </c>
      <c r="F338" s="9">
        <v>0</v>
      </c>
      <c r="G338" s="9">
        <v>1</v>
      </c>
      <c r="H338" s="9">
        <v>0</v>
      </c>
      <c r="I338" s="9">
        <v>1</v>
      </c>
      <c r="J338" s="9">
        <v>0</v>
      </c>
      <c r="K338" s="55"/>
      <c r="L338" s="24"/>
    </row>
    <row r="339" spans="2:12" x14ac:dyDescent="0.2">
      <c r="B339" s="6" t="s">
        <v>556</v>
      </c>
      <c r="C339" s="9" t="s">
        <v>20</v>
      </c>
      <c r="D339" s="22">
        <v>42864</v>
      </c>
      <c r="E339" s="9">
        <v>1</v>
      </c>
      <c r="F339" s="9">
        <v>0</v>
      </c>
      <c r="G339" s="9">
        <v>1</v>
      </c>
      <c r="H339" s="9">
        <v>0</v>
      </c>
      <c r="I339" s="9">
        <v>1</v>
      </c>
      <c r="J339" s="9">
        <v>0</v>
      </c>
      <c r="K339" s="55"/>
      <c r="L339" s="24"/>
    </row>
    <row r="340" spans="2:12" x14ac:dyDescent="0.2">
      <c r="B340" s="6" t="s">
        <v>496</v>
      </c>
      <c r="C340" s="9" t="s">
        <v>31</v>
      </c>
      <c r="D340" s="22">
        <v>42884</v>
      </c>
      <c r="E340" s="9">
        <v>1</v>
      </c>
      <c r="F340" s="9">
        <v>0</v>
      </c>
      <c r="G340" s="9">
        <v>1</v>
      </c>
      <c r="H340" s="9">
        <v>0</v>
      </c>
      <c r="I340" s="9">
        <v>1</v>
      </c>
      <c r="J340" s="9">
        <v>0</v>
      </c>
      <c r="K340" s="55"/>
      <c r="L340" s="24"/>
    </row>
    <row r="341" spans="2:12" x14ac:dyDescent="0.2">
      <c r="B341" s="6" t="s">
        <v>615</v>
      </c>
      <c r="C341" s="9" t="s">
        <v>20</v>
      </c>
      <c r="D341" s="22">
        <v>42856</v>
      </c>
      <c r="E341" s="9">
        <v>1</v>
      </c>
      <c r="F341" s="9">
        <v>0</v>
      </c>
      <c r="G341" s="9">
        <v>1</v>
      </c>
      <c r="H341" s="9">
        <v>0</v>
      </c>
      <c r="I341" s="9">
        <v>1</v>
      </c>
      <c r="J341" s="9">
        <v>0</v>
      </c>
      <c r="K341" s="55"/>
      <c r="L341" s="24"/>
    </row>
    <row r="342" spans="2:12" x14ac:dyDescent="0.2">
      <c r="B342" s="6" t="s">
        <v>508</v>
      </c>
      <c r="C342" s="9" t="s">
        <v>31</v>
      </c>
      <c r="D342" s="22">
        <v>42912</v>
      </c>
      <c r="E342" s="9">
        <v>1</v>
      </c>
      <c r="F342" s="9">
        <v>0</v>
      </c>
      <c r="G342" s="9">
        <v>1</v>
      </c>
      <c r="H342" s="9">
        <v>0</v>
      </c>
      <c r="I342" s="9">
        <v>1</v>
      </c>
      <c r="J342" s="9">
        <v>0</v>
      </c>
      <c r="K342" s="55"/>
      <c r="L342" s="24"/>
    </row>
    <row r="343" spans="2:12" x14ac:dyDescent="0.2">
      <c r="B343" s="6" t="s">
        <v>165</v>
      </c>
      <c r="C343" s="9" t="s">
        <v>31</v>
      </c>
      <c r="D343" s="22">
        <v>42845</v>
      </c>
      <c r="E343" s="9">
        <v>1</v>
      </c>
      <c r="F343" s="9">
        <v>0</v>
      </c>
      <c r="G343" s="9">
        <v>1</v>
      </c>
      <c r="H343" s="9">
        <v>0</v>
      </c>
      <c r="I343" s="9">
        <v>1</v>
      </c>
      <c r="J343" s="9">
        <v>0</v>
      </c>
      <c r="K343" s="55"/>
      <c r="L343" s="24"/>
    </row>
    <row r="344" spans="2:12" x14ac:dyDescent="0.2">
      <c r="B344" s="6" t="s">
        <v>712</v>
      </c>
      <c r="C344" s="9" t="s">
        <v>20</v>
      </c>
      <c r="D344" s="22">
        <v>42839</v>
      </c>
      <c r="E344" s="9">
        <v>1</v>
      </c>
      <c r="F344" s="9">
        <v>0</v>
      </c>
      <c r="G344" s="9">
        <v>1</v>
      </c>
      <c r="H344" s="9">
        <v>0</v>
      </c>
      <c r="I344" s="9">
        <v>1</v>
      </c>
      <c r="J344" s="9">
        <v>0</v>
      </c>
      <c r="K344" s="55"/>
      <c r="L344" s="24"/>
    </row>
    <row r="345" spans="2:12" x14ac:dyDescent="0.2">
      <c r="B345" s="6" t="s">
        <v>612</v>
      </c>
      <c r="C345" s="9" t="s">
        <v>31</v>
      </c>
      <c r="D345" s="22">
        <v>42850</v>
      </c>
      <c r="E345" s="9">
        <v>1</v>
      </c>
      <c r="F345" s="9">
        <v>0</v>
      </c>
      <c r="G345" s="9">
        <v>1</v>
      </c>
      <c r="H345" s="9">
        <v>0</v>
      </c>
      <c r="I345" s="9">
        <v>1</v>
      </c>
      <c r="J345" s="9">
        <v>0</v>
      </c>
      <c r="K345" s="55"/>
      <c r="L345" s="24"/>
    </row>
    <row r="346" spans="2:12" x14ac:dyDescent="0.2">
      <c r="B346" s="6" t="s">
        <v>325</v>
      </c>
      <c r="C346" s="9" t="s">
        <v>31</v>
      </c>
      <c r="D346" s="22">
        <v>42904</v>
      </c>
      <c r="E346" s="9">
        <v>1</v>
      </c>
      <c r="F346" s="9">
        <v>0</v>
      </c>
      <c r="G346" s="9">
        <v>1</v>
      </c>
      <c r="H346" s="9">
        <v>0</v>
      </c>
      <c r="I346" s="9">
        <v>1</v>
      </c>
      <c r="J346" s="9">
        <v>0</v>
      </c>
      <c r="K346" s="55"/>
      <c r="L346" s="24"/>
    </row>
    <row r="347" spans="2:12" x14ac:dyDescent="0.2">
      <c r="B347" s="6" t="s">
        <v>379</v>
      </c>
      <c r="C347" s="9" t="s">
        <v>31</v>
      </c>
      <c r="D347" s="22">
        <v>42858</v>
      </c>
      <c r="E347" s="9">
        <v>1</v>
      </c>
      <c r="F347" s="9">
        <v>0</v>
      </c>
      <c r="G347" s="9">
        <v>1</v>
      </c>
      <c r="H347" s="9">
        <v>0</v>
      </c>
      <c r="I347" s="9">
        <v>1</v>
      </c>
      <c r="J347" s="9">
        <v>0</v>
      </c>
      <c r="K347" s="55"/>
      <c r="L347" s="24"/>
    </row>
    <row r="348" spans="2:12" x14ac:dyDescent="0.2">
      <c r="B348" s="6" t="s">
        <v>572</v>
      </c>
      <c r="C348" s="9" t="s">
        <v>31</v>
      </c>
      <c r="D348" s="22">
        <v>42842</v>
      </c>
      <c r="E348" s="9">
        <v>1</v>
      </c>
      <c r="F348" s="9">
        <v>0</v>
      </c>
      <c r="G348" s="9">
        <v>1</v>
      </c>
      <c r="H348" s="9">
        <v>0</v>
      </c>
      <c r="I348" s="9">
        <v>1</v>
      </c>
      <c r="J348" s="9">
        <v>0</v>
      </c>
      <c r="K348" s="55"/>
      <c r="L348" s="24"/>
    </row>
    <row r="349" spans="2:12" x14ac:dyDescent="0.2">
      <c r="B349" s="6" t="s">
        <v>766</v>
      </c>
      <c r="C349" s="9" t="s">
        <v>20</v>
      </c>
      <c r="D349" s="22">
        <v>42874</v>
      </c>
      <c r="E349" s="9">
        <v>1</v>
      </c>
      <c r="F349" s="9">
        <v>0</v>
      </c>
      <c r="G349" s="9">
        <v>1</v>
      </c>
      <c r="H349" s="9">
        <v>0</v>
      </c>
      <c r="I349" s="9">
        <v>1</v>
      </c>
      <c r="J349" s="9">
        <v>0</v>
      </c>
      <c r="K349" s="55"/>
      <c r="L349" s="24"/>
    </row>
    <row r="350" spans="2:12" x14ac:dyDescent="0.2">
      <c r="B350" s="6" t="s">
        <v>305</v>
      </c>
      <c r="C350" s="9" t="s">
        <v>20</v>
      </c>
      <c r="D350" s="22">
        <v>42838</v>
      </c>
      <c r="E350" s="9">
        <v>1</v>
      </c>
      <c r="F350" s="9">
        <v>0</v>
      </c>
      <c r="G350" s="9">
        <v>1</v>
      </c>
      <c r="H350" s="9">
        <v>0</v>
      </c>
      <c r="I350" s="9">
        <v>1</v>
      </c>
      <c r="J350" s="9">
        <v>0</v>
      </c>
      <c r="K350" s="55"/>
      <c r="L350" s="24"/>
    </row>
    <row r="351" spans="2:12" x14ac:dyDescent="0.2">
      <c r="B351" s="6" t="s">
        <v>268</v>
      </c>
      <c r="C351" s="9" t="s">
        <v>31</v>
      </c>
      <c r="D351" s="22">
        <v>42853</v>
      </c>
      <c r="E351" s="9">
        <v>1</v>
      </c>
      <c r="F351" s="9">
        <v>0</v>
      </c>
      <c r="G351" s="9">
        <v>1</v>
      </c>
      <c r="H351" s="9">
        <v>0</v>
      </c>
      <c r="I351" s="9">
        <v>1</v>
      </c>
      <c r="J351" s="9">
        <v>0</v>
      </c>
      <c r="K351" s="55"/>
      <c r="L351" s="24"/>
    </row>
    <row r="352" spans="2:12" x14ac:dyDescent="0.2">
      <c r="B352" s="6" t="s">
        <v>761</v>
      </c>
      <c r="C352" s="9" t="s">
        <v>20</v>
      </c>
      <c r="D352" s="22">
        <v>42842</v>
      </c>
      <c r="E352" s="9">
        <v>1</v>
      </c>
      <c r="F352" s="9">
        <v>0</v>
      </c>
      <c r="G352" s="9">
        <v>1</v>
      </c>
      <c r="H352" s="9">
        <v>0</v>
      </c>
      <c r="I352" s="9">
        <v>1</v>
      </c>
      <c r="J352" s="9">
        <v>0</v>
      </c>
      <c r="K352" s="55"/>
      <c r="L352" s="24"/>
    </row>
    <row r="353" spans="2:12" x14ac:dyDescent="0.2">
      <c r="B353" s="6" t="s">
        <v>220</v>
      </c>
      <c r="C353" s="9" t="s">
        <v>31</v>
      </c>
      <c r="D353" s="22">
        <v>42902</v>
      </c>
      <c r="E353" s="9">
        <v>1</v>
      </c>
      <c r="F353" s="9">
        <v>0</v>
      </c>
      <c r="G353" s="9">
        <v>1</v>
      </c>
      <c r="H353" s="9">
        <v>0</v>
      </c>
      <c r="I353" s="9">
        <v>1</v>
      </c>
      <c r="J353" s="9">
        <v>0</v>
      </c>
      <c r="K353" s="55"/>
      <c r="L353" s="24"/>
    </row>
    <row r="354" spans="2:12" x14ac:dyDescent="0.2">
      <c r="B354" s="6" t="s">
        <v>297</v>
      </c>
      <c r="C354" s="9" t="s">
        <v>20</v>
      </c>
      <c r="D354" s="22">
        <v>42840</v>
      </c>
      <c r="E354" s="9">
        <v>1</v>
      </c>
      <c r="F354" s="9">
        <v>0</v>
      </c>
      <c r="G354" s="9">
        <v>1</v>
      </c>
      <c r="H354" s="9">
        <v>0</v>
      </c>
      <c r="I354" s="9">
        <v>1</v>
      </c>
      <c r="J354" s="9">
        <v>0</v>
      </c>
      <c r="K354" s="55"/>
      <c r="L354" s="24"/>
    </row>
    <row r="355" spans="2:12" x14ac:dyDescent="0.2">
      <c r="B355" s="6" t="s">
        <v>756</v>
      </c>
      <c r="C355" s="9" t="s">
        <v>20</v>
      </c>
      <c r="D355" s="22">
        <v>42890</v>
      </c>
      <c r="E355" s="9">
        <v>1</v>
      </c>
      <c r="F355" s="9">
        <v>0</v>
      </c>
      <c r="G355" s="9">
        <v>1</v>
      </c>
      <c r="H355" s="9">
        <v>0</v>
      </c>
      <c r="I355" s="9">
        <v>1</v>
      </c>
      <c r="J355" s="9">
        <v>0</v>
      </c>
      <c r="K355" s="55"/>
      <c r="L355" s="24"/>
    </row>
    <row r="356" spans="2:12" x14ac:dyDescent="0.2">
      <c r="B356" s="6" t="s">
        <v>147</v>
      </c>
      <c r="C356" s="9" t="s">
        <v>31</v>
      </c>
      <c r="D356" s="22">
        <v>42831</v>
      </c>
      <c r="E356" s="9">
        <v>1</v>
      </c>
      <c r="F356" s="9">
        <v>0</v>
      </c>
      <c r="G356" s="9">
        <v>1</v>
      </c>
      <c r="H356" s="9">
        <v>0</v>
      </c>
      <c r="I356" s="9">
        <v>1</v>
      </c>
      <c r="J356" s="9">
        <v>0</v>
      </c>
      <c r="K356" s="55"/>
      <c r="L356" s="24"/>
    </row>
    <row r="357" spans="2:12" x14ac:dyDescent="0.2">
      <c r="B357" s="6" t="s">
        <v>655</v>
      </c>
      <c r="C357" s="9" t="s">
        <v>20</v>
      </c>
      <c r="D357" s="22">
        <v>42849</v>
      </c>
      <c r="E357" s="9">
        <v>1</v>
      </c>
      <c r="F357" s="9">
        <v>0</v>
      </c>
      <c r="G357" s="9">
        <v>1</v>
      </c>
      <c r="H357" s="9">
        <v>0</v>
      </c>
      <c r="I357" s="9">
        <v>1</v>
      </c>
      <c r="J357" s="9">
        <v>0</v>
      </c>
      <c r="K357" s="55"/>
      <c r="L357" s="24"/>
    </row>
    <row r="358" spans="2:12" x14ac:dyDescent="0.2">
      <c r="B358" s="6" t="s">
        <v>491</v>
      </c>
      <c r="C358" s="9" t="s">
        <v>20</v>
      </c>
      <c r="D358" s="22">
        <v>42872</v>
      </c>
      <c r="E358" s="9">
        <v>1</v>
      </c>
      <c r="F358" s="9">
        <v>0</v>
      </c>
      <c r="G358" s="9">
        <v>1</v>
      </c>
      <c r="H358" s="9">
        <v>0</v>
      </c>
      <c r="I358" s="9">
        <v>1</v>
      </c>
      <c r="J358" s="9">
        <v>0</v>
      </c>
      <c r="K358" s="55"/>
      <c r="L358" s="24"/>
    </row>
    <row r="359" spans="2:12" x14ac:dyDescent="0.2">
      <c r="B359" s="6" t="s">
        <v>156</v>
      </c>
      <c r="C359" s="9" t="s">
        <v>31</v>
      </c>
      <c r="D359" s="22">
        <v>42904</v>
      </c>
      <c r="E359" s="9">
        <v>1</v>
      </c>
      <c r="F359" s="9">
        <v>0</v>
      </c>
      <c r="G359" s="9">
        <v>1</v>
      </c>
      <c r="H359" s="9">
        <v>0</v>
      </c>
      <c r="I359" s="9">
        <v>1</v>
      </c>
      <c r="J359" s="9">
        <v>0</v>
      </c>
      <c r="K359" s="55"/>
      <c r="L359" s="24"/>
    </row>
    <row r="360" spans="2:12" x14ac:dyDescent="0.2">
      <c r="B360" s="6" t="s">
        <v>727</v>
      </c>
      <c r="C360" s="9" t="s">
        <v>31</v>
      </c>
      <c r="D360" s="22">
        <v>42874</v>
      </c>
      <c r="E360" s="9">
        <v>1</v>
      </c>
      <c r="F360" s="9">
        <v>0</v>
      </c>
      <c r="G360" s="9">
        <v>1</v>
      </c>
      <c r="H360" s="9">
        <v>0</v>
      </c>
      <c r="I360" s="9">
        <v>1</v>
      </c>
      <c r="J360" s="9">
        <v>0</v>
      </c>
      <c r="K360" s="55"/>
      <c r="L360" s="24"/>
    </row>
    <row r="361" spans="2:12" x14ac:dyDescent="0.2">
      <c r="B361" s="6" t="s">
        <v>422</v>
      </c>
      <c r="C361" s="9" t="s">
        <v>31</v>
      </c>
      <c r="D361" s="22">
        <v>42886</v>
      </c>
      <c r="E361" s="9">
        <v>1</v>
      </c>
      <c r="F361" s="9">
        <v>0</v>
      </c>
      <c r="G361" s="9">
        <v>1</v>
      </c>
      <c r="H361" s="9">
        <v>0</v>
      </c>
      <c r="I361" s="9">
        <v>1</v>
      </c>
      <c r="J361" s="9">
        <v>0</v>
      </c>
      <c r="K361" s="55"/>
      <c r="L361" s="24"/>
    </row>
    <row r="362" spans="2:12" x14ac:dyDescent="0.2">
      <c r="B362" s="6" t="s">
        <v>666</v>
      </c>
      <c r="C362" s="9" t="s">
        <v>31</v>
      </c>
      <c r="D362" s="22">
        <v>42850</v>
      </c>
      <c r="E362" s="9">
        <v>1</v>
      </c>
      <c r="F362" s="9">
        <v>0</v>
      </c>
      <c r="G362" s="9">
        <v>1</v>
      </c>
      <c r="H362" s="9">
        <v>0</v>
      </c>
      <c r="I362" s="9">
        <v>1</v>
      </c>
      <c r="J362" s="9">
        <v>0</v>
      </c>
      <c r="K362" s="55"/>
      <c r="L362" s="24"/>
    </row>
    <row r="363" spans="2:12" x14ac:dyDescent="0.2">
      <c r="B363" s="6" t="s">
        <v>390</v>
      </c>
      <c r="C363" s="9" t="s">
        <v>31</v>
      </c>
      <c r="D363" s="22">
        <v>42877</v>
      </c>
      <c r="E363" s="9">
        <v>1</v>
      </c>
      <c r="F363" s="9">
        <v>0</v>
      </c>
      <c r="G363" s="9">
        <v>1</v>
      </c>
      <c r="H363" s="9">
        <v>0</v>
      </c>
      <c r="I363" s="9">
        <v>1</v>
      </c>
      <c r="J363" s="9">
        <v>0</v>
      </c>
      <c r="K363" s="55"/>
      <c r="L363" s="24"/>
    </row>
    <row r="364" spans="2:12" x14ac:dyDescent="0.2">
      <c r="B364" s="6" t="s">
        <v>525</v>
      </c>
      <c r="C364" s="9" t="s">
        <v>31</v>
      </c>
      <c r="D364" s="22">
        <v>42912</v>
      </c>
      <c r="E364" s="9">
        <v>1</v>
      </c>
      <c r="F364" s="9">
        <v>0</v>
      </c>
      <c r="G364" s="9">
        <v>1</v>
      </c>
      <c r="H364" s="9">
        <v>0</v>
      </c>
      <c r="I364" s="9">
        <v>1</v>
      </c>
      <c r="J364" s="9">
        <v>0</v>
      </c>
      <c r="K364" s="55"/>
      <c r="L364" s="24"/>
    </row>
    <row r="365" spans="2:12" x14ac:dyDescent="0.2">
      <c r="B365" s="6" t="s">
        <v>148</v>
      </c>
      <c r="C365" s="9" t="s">
        <v>20</v>
      </c>
      <c r="D365" s="22">
        <v>42833</v>
      </c>
      <c r="E365" s="9">
        <v>1</v>
      </c>
      <c r="F365" s="9">
        <v>0</v>
      </c>
      <c r="G365" s="9">
        <v>1</v>
      </c>
      <c r="H365" s="9">
        <v>0</v>
      </c>
      <c r="I365" s="9">
        <v>1</v>
      </c>
      <c r="J365" s="9">
        <v>0</v>
      </c>
      <c r="K365" s="55"/>
      <c r="L365" s="24"/>
    </row>
    <row r="366" spans="2:12" x14ac:dyDescent="0.2">
      <c r="B366" s="6" t="s">
        <v>701</v>
      </c>
      <c r="C366" s="9" t="s">
        <v>20</v>
      </c>
      <c r="D366" s="22">
        <v>42896</v>
      </c>
      <c r="E366" s="9">
        <v>1</v>
      </c>
      <c r="F366" s="9">
        <v>0</v>
      </c>
      <c r="G366" s="9">
        <v>1</v>
      </c>
      <c r="H366" s="9">
        <v>0</v>
      </c>
      <c r="I366" s="9">
        <v>1</v>
      </c>
      <c r="J366" s="9">
        <v>0</v>
      </c>
      <c r="K366" s="55"/>
      <c r="L366" s="24"/>
    </row>
    <row r="367" spans="2:12" x14ac:dyDescent="0.2">
      <c r="B367" s="6" t="s">
        <v>975</v>
      </c>
      <c r="C367" s="9" t="s">
        <v>20</v>
      </c>
      <c r="D367" s="22">
        <v>42848</v>
      </c>
      <c r="E367" s="9">
        <v>1</v>
      </c>
      <c r="F367" s="9">
        <v>0</v>
      </c>
      <c r="G367" s="9">
        <v>1</v>
      </c>
      <c r="H367" s="9">
        <v>0</v>
      </c>
      <c r="I367" s="9">
        <v>1</v>
      </c>
      <c r="J367" s="9">
        <v>0</v>
      </c>
      <c r="K367" s="55"/>
      <c r="L367" s="24"/>
    </row>
    <row r="368" spans="2:12" x14ac:dyDescent="0.2">
      <c r="B368" s="6" t="s">
        <v>38</v>
      </c>
      <c r="C368" s="9" t="s">
        <v>31</v>
      </c>
      <c r="D368" s="22">
        <v>42852</v>
      </c>
      <c r="E368" s="9">
        <v>1</v>
      </c>
      <c r="F368" s="9">
        <v>0</v>
      </c>
      <c r="G368" s="9">
        <v>1</v>
      </c>
      <c r="H368" s="9">
        <v>0</v>
      </c>
      <c r="I368" s="9">
        <v>1</v>
      </c>
      <c r="J368" s="9">
        <v>0</v>
      </c>
      <c r="K368" s="55"/>
      <c r="L368" s="24"/>
    </row>
    <row r="369" spans="2:12" x14ac:dyDescent="0.2">
      <c r="B369" s="6" t="s">
        <v>636</v>
      </c>
      <c r="C369" s="9" t="s">
        <v>31</v>
      </c>
      <c r="D369" s="22">
        <v>42904</v>
      </c>
      <c r="E369" s="9">
        <v>1</v>
      </c>
      <c r="F369" s="9">
        <v>0</v>
      </c>
      <c r="G369" s="9">
        <v>1</v>
      </c>
      <c r="H369" s="9">
        <v>0</v>
      </c>
      <c r="I369" s="9">
        <v>1</v>
      </c>
      <c r="J369" s="9">
        <v>0</v>
      </c>
      <c r="K369" s="55"/>
      <c r="L369" s="24"/>
    </row>
    <row r="370" spans="2:12" x14ac:dyDescent="0.2">
      <c r="B370" s="6" t="s">
        <v>248</v>
      </c>
      <c r="C370" s="9" t="s">
        <v>20</v>
      </c>
      <c r="D370" s="22">
        <v>42852</v>
      </c>
      <c r="E370" s="9">
        <v>1</v>
      </c>
      <c r="F370" s="9">
        <v>0</v>
      </c>
      <c r="G370" s="9">
        <v>1</v>
      </c>
      <c r="H370" s="9">
        <v>0</v>
      </c>
      <c r="I370" s="9">
        <v>1</v>
      </c>
      <c r="J370" s="9">
        <v>0</v>
      </c>
      <c r="K370" s="55"/>
      <c r="L370" s="24"/>
    </row>
    <row r="371" spans="2:12" x14ac:dyDescent="0.2">
      <c r="B371" s="6" t="s">
        <v>173</v>
      </c>
      <c r="C371" s="9" t="s">
        <v>20</v>
      </c>
      <c r="D371" s="22">
        <v>42881</v>
      </c>
      <c r="E371" s="9">
        <v>1</v>
      </c>
      <c r="F371" s="9">
        <v>0</v>
      </c>
      <c r="G371" s="9">
        <v>1</v>
      </c>
      <c r="H371" s="9">
        <v>0</v>
      </c>
      <c r="I371" s="9">
        <v>1</v>
      </c>
      <c r="J371" s="9">
        <v>0</v>
      </c>
      <c r="K371" s="55"/>
      <c r="L371" s="24"/>
    </row>
    <row r="372" spans="2:12" x14ac:dyDescent="0.2">
      <c r="B372" s="6" t="s">
        <v>976</v>
      </c>
      <c r="C372" s="9" t="s">
        <v>31</v>
      </c>
      <c r="D372" s="22">
        <v>42830</v>
      </c>
      <c r="E372" s="9">
        <v>1</v>
      </c>
      <c r="F372" s="9">
        <v>0</v>
      </c>
      <c r="G372" s="9">
        <v>1</v>
      </c>
      <c r="H372" s="9">
        <v>0</v>
      </c>
      <c r="I372" s="9">
        <v>1</v>
      </c>
      <c r="J372" s="9">
        <v>0</v>
      </c>
      <c r="K372" s="55"/>
      <c r="L372" s="24"/>
    </row>
    <row r="373" spans="2:12" x14ac:dyDescent="0.2">
      <c r="B373" s="6" t="s">
        <v>622</v>
      </c>
      <c r="C373" s="9" t="s">
        <v>31</v>
      </c>
      <c r="D373" s="22">
        <v>42914</v>
      </c>
      <c r="E373" s="9">
        <v>1</v>
      </c>
      <c r="F373" s="9">
        <v>0</v>
      </c>
      <c r="G373" s="9">
        <v>1</v>
      </c>
      <c r="H373" s="9">
        <v>0</v>
      </c>
      <c r="I373" s="9">
        <v>1</v>
      </c>
      <c r="J373" s="9">
        <v>0</v>
      </c>
      <c r="K373" s="55"/>
      <c r="L373" s="24"/>
    </row>
    <row r="374" spans="2:12" x14ac:dyDescent="0.2">
      <c r="B374" s="6" t="s">
        <v>502</v>
      </c>
      <c r="C374" s="9" t="s">
        <v>31</v>
      </c>
      <c r="D374" s="22">
        <v>42841</v>
      </c>
      <c r="E374" s="9">
        <v>1</v>
      </c>
      <c r="F374" s="9">
        <v>0</v>
      </c>
      <c r="G374" s="9">
        <v>1</v>
      </c>
      <c r="H374" s="9">
        <v>0</v>
      </c>
      <c r="I374" s="9">
        <v>1</v>
      </c>
      <c r="J374" s="9">
        <v>0</v>
      </c>
      <c r="K374" s="55"/>
      <c r="L374" s="24"/>
    </row>
    <row r="375" spans="2:12" x14ac:dyDescent="0.2">
      <c r="B375" s="6" t="s">
        <v>293</v>
      </c>
      <c r="C375" s="9" t="s">
        <v>31</v>
      </c>
      <c r="D375" s="22">
        <v>42848</v>
      </c>
      <c r="E375" s="9">
        <v>1</v>
      </c>
      <c r="F375" s="9">
        <v>0</v>
      </c>
      <c r="G375" s="9">
        <v>1</v>
      </c>
      <c r="H375" s="9">
        <v>0</v>
      </c>
      <c r="I375" s="9">
        <v>1</v>
      </c>
      <c r="J375" s="9">
        <v>0</v>
      </c>
      <c r="K375" s="55"/>
      <c r="L375" s="24"/>
    </row>
    <row r="376" spans="2:12" x14ac:dyDescent="0.2">
      <c r="B376" s="6" t="s">
        <v>384</v>
      </c>
      <c r="C376" s="9" t="s">
        <v>20</v>
      </c>
      <c r="D376" s="22">
        <v>42903</v>
      </c>
      <c r="E376" s="9">
        <v>1</v>
      </c>
      <c r="F376" s="9">
        <v>0</v>
      </c>
      <c r="G376" s="9">
        <v>1</v>
      </c>
      <c r="H376" s="9">
        <v>0</v>
      </c>
      <c r="I376" s="9">
        <v>1</v>
      </c>
      <c r="J376" s="9">
        <v>0</v>
      </c>
      <c r="K376" s="55"/>
      <c r="L376" s="24"/>
    </row>
    <row r="377" spans="2:12" x14ac:dyDescent="0.2">
      <c r="B377" s="6" t="s">
        <v>503</v>
      </c>
      <c r="C377" s="9" t="s">
        <v>20</v>
      </c>
      <c r="D377" s="22">
        <v>42903</v>
      </c>
      <c r="E377" s="9">
        <v>1</v>
      </c>
      <c r="F377" s="9">
        <v>0</v>
      </c>
      <c r="G377" s="9">
        <v>1</v>
      </c>
      <c r="H377" s="9">
        <v>0</v>
      </c>
      <c r="I377" s="9">
        <v>1</v>
      </c>
      <c r="J377" s="9">
        <v>0</v>
      </c>
      <c r="K377" s="55"/>
      <c r="L377" s="24"/>
    </row>
    <row r="378" spans="2:12" x14ac:dyDescent="0.2">
      <c r="B378" s="6" t="s">
        <v>977</v>
      </c>
      <c r="C378" s="9" t="s">
        <v>31</v>
      </c>
      <c r="D378" s="22">
        <v>42830</v>
      </c>
      <c r="E378" s="9">
        <v>1</v>
      </c>
      <c r="F378" s="9">
        <v>0</v>
      </c>
      <c r="G378" s="9">
        <v>1</v>
      </c>
      <c r="H378" s="9">
        <v>0</v>
      </c>
      <c r="I378" s="9">
        <v>1</v>
      </c>
      <c r="J378" s="9">
        <v>0</v>
      </c>
      <c r="K378" s="55"/>
      <c r="L378" s="24"/>
    </row>
    <row r="379" spans="2:12" x14ac:dyDescent="0.2">
      <c r="B379" s="6" t="s">
        <v>978</v>
      </c>
      <c r="C379" s="9" t="s">
        <v>31</v>
      </c>
      <c r="D379" s="22">
        <v>42902</v>
      </c>
      <c r="E379" s="9">
        <v>1</v>
      </c>
      <c r="F379" s="9">
        <v>0</v>
      </c>
      <c r="G379" s="9">
        <v>1</v>
      </c>
      <c r="H379" s="9">
        <v>0</v>
      </c>
      <c r="I379" s="9">
        <v>1</v>
      </c>
      <c r="J379" s="9">
        <v>0</v>
      </c>
      <c r="K379" s="55"/>
      <c r="L379" s="24"/>
    </row>
    <row r="380" spans="2:12" x14ac:dyDescent="0.2">
      <c r="B380" s="6" t="s">
        <v>53</v>
      </c>
      <c r="C380" s="9" t="s">
        <v>20</v>
      </c>
      <c r="D380" s="22">
        <v>42864</v>
      </c>
      <c r="E380" s="9">
        <v>1</v>
      </c>
      <c r="F380" s="9">
        <v>0</v>
      </c>
      <c r="G380" s="9">
        <v>1</v>
      </c>
      <c r="H380" s="9">
        <v>0</v>
      </c>
      <c r="I380" s="9">
        <v>1</v>
      </c>
      <c r="J380" s="9">
        <v>0</v>
      </c>
      <c r="K380" s="55"/>
      <c r="L380" s="24"/>
    </row>
    <row r="381" spans="2:12" x14ac:dyDescent="0.2">
      <c r="B381" s="6" t="s">
        <v>979</v>
      </c>
      <c r="C381" s="9" t="s">
        <v>31</v>
      </c>
      <c r="D381" s="22">
        <v>42914</v>
      </c>
      <c r="E381" s="9">
        <v>1</v>
      </c>
      <c r="F381" s="9">
        <v>0</v>
      </c>
      <c r="G381" s="9">
        <v>1</v>
      </c>
      <c r="H381" s="9">
        <v>0</v>
      </c>
      <c r="I381" s="9">
        <v>1</v>
      </c>
      <c r="J381" s="9">
        <v>0</v>
      </c>
      <c r="K381" s="55"/>
      <c r="L381" s="24"/>
    </row>
    <row r="382" spans="2:12" x14ac:dyDescent="0.2">
      <c r="B382" s="6" t="s">
        <v>980</v>
      </c>
      <c r="C382" s="9" t="s">
        <v>20</v>
      </c>
      <c r="D382" s="22">
        <v>42885</v>
      </c>
      <c r="E382" s="9">
        <v>1</v>
      </c>
      <c r="F382" s="9">
        <v>0</v>
      </c>
      <c r="G382" s="9">
        <v>1</v>
      </c>
      <c r="H382" s="9">
        <v>0</v>
      </c>
      <c r="I382" s="9">
        <v>1</v>
      </c>
      <c r="J382" s="9">
        <v>0</v>
      </c>
      <c r="K382" s="55"/>
      <c r="L382" s="24"/>
    </row>
    <row r="383" spans="2:12" x14ac:dyDescent="0.2">
      <c r="B383" s="6" t="s">
        <v>696</v>
      </c>
      <c r="C383" s="9" t="s">
        <v>31</v>
      </c>
      <c r="D383" s="22">
        <v>42860</v>
      </c>
      <c r="E383" s="9">
        <v>1</v>
      </c>
      <c r="F383" s="9">
        <v>0</v>
      </c>
      <c r="G383" s="9">
        <v>1</v>
      </c>
      <c r="H383" s="9">
        <v>0</v>
      </c>
      <c r="I383" s="9">
        <v>1</v>
      </c>
      <c r="J383" s="9">
        <v>0</v>
      </c>
      <c r="K383" s="55"/>
      <c r="L383" s="24"/>
    </row>
    <row r="384" spans="2:12" x14ac:dyDescent="0.2">
      <c r="B384" s="6" t="s">
        <v>564</v>
      </c>
      <c r="C384" s="9" t="s">
        <v>31</v>
      </c>
      <c r="D384" s="22">
        <v>42826</v>
      </c>
      <c r="E384" s="9">
        <v>1</v>
      </c>
      <c r="F384" s="9">
        <v>0</v>
      </c>
      <c r="G384" s="9">
        <v>1</v>
      </c>
      <c r="H384" s="9">
        <v>0</v>
      </c>
      <c r="I384" s="9">
        <v>1</v>
      </c>
      <c r="J384" s="9">
        <v>0</v>
      </c>
      <c r="K384" s="55"/>
      <c r="L384" s="24"/>
    </row>
    <row r="385" spans="2:12" x14ac:dyDescent="0.2">
      <c r="B385" s="6" t="s">
        <v>516</v>
      </c>
      <c r="C385" s="9" t="s">
        <v>20</v>
      </c>
      <c r="D385" s="22">
        <v>42907</v>
      </c>
      <c r="E385" s="9">
        <v>1</v>
      </c>
      <c r="F385" s="9">
        <v>0</v>
      </c>
      <c r="G385" s="9">
        <v>1</v>
      </c>
      <c r="H385" s="9">
        <v>0</v>
      </c>
      <c r="I385" s="9">
        <v>1</v>
      </c>
      <c r="J385" s="9">
        <v>0</v>
      </c>
      <c r="K385" s="55"/>
      <c r="L385" s="24"/>
    </row>
    <row r="386" spans="2:12" x14ac:dyDescent="0.2">
      <c r="B386" s="6" t="s">
        <v>429</v>
      </c>
      <c r="C386" s="9" t="s">
        <v>31</v>
      </c>
      <c r="D386" s="22">
        <v>42895</v>
      </c>
      <c r="E386" s="9">
        <v>1</v>
      </c>
      <c r="F386" s="9">
        <v>0</v>
      </c>
      <c r="G386" s="9">
        <v>1</v>
      </c>
      <c r="H386" s="9">
        <v>0</v>
      </c>
      <c r="I386" s="9">
        <v>1</v>
      </c>
      <c r="J386" s="9">
        <v>0</v>
      </c>
      <c r="K386" s="55"/>
      <c r="L386" s="24"/>
    </row>
    <row r="387" spans="2:12" x14ac:dyDescent="0.2">
      <c r="B387" s="6" t="s">
        <v>356</v>
      </c>
      <c r="C387" s="9" t="s">
        <v>20</v>
      </c>
      <c r="D387" s="22">
        <v>42848</v>
      </c>
      <c r="E387" s="9">
        <v>1</v>
      </c>
      <c r="F387" s="9">
        <v>0</v>
      </c>
      <c r="G387" s="9">
        <v>1</v>
      </c>
      <c r="H387" s="9">
        <v>0</v>
      </c>
      <c r="I387" s="9">
        <v>1</v>
      </c>
      <c r="J387" s="9">
        <v>0</v>
      </c>
      <c r="K387" s="55"/>
      <c r="L387" s="24"/>
    </row>
    <row r="388" spans="2:12" x14ac:dyDescent="0.2">
      <c r="B388" s="6" t="s">
        <v>664</v>
      </c>
      <c r="C388" s="9" t="s">
        <v>31</v>
      </c>
      <c r="D388" s="22">
        <v>42914</v>
      </c>
      <c r="E388" s="9">
        <v>1</v>
      </c>
      <c r="F388" s="9">
        <v>0</v>
      </c>
      <c r="G388" s="9">
        <v>1</v>
      </c>
      <c r="H388" s="9">
        <v>0</v>
      </c>
      <c r="I388" s="9">
        <v>1</v>
      </c>
      <c r="J388" s="9">
        <v>0</v>
      </c>
      <c r="K388" s="55"/>
      <c r="L388" s="24"/>
    </row>
    <row r="389" spans="2:12" x14ac:dyDescent="0.2">
      <c r="B389" s="6" t="s">
        <v>514</v>
      </c>
      <c r="C389" s="9" t="s">
        <v>20</v>
      </c>
      <c r="D389" s="22">
        <v>42898</v>
      </c>
      <c r="E389" s="9">
        <v>1</v>
      </c>
      <c r="F389" s="9">
        <v>0</v>
      </c>
      <c r="G389" s="9">
        <v>1</v>
      </c>
      <c r="H389" s="9">
        <v>0</v>
      </c>
      <c r="I389" s="9">
        <v>1</v>
      </c>
      <c r="J389" s="9">
        <v>0</v>
      </c>
      <c r="K389" s="55"/>
      <c r="L389" s="24"/>
    </row>
    <row r="390" spans="2:12" x14ac:dyDescent="0.2">
      <c r="B390" s="6" t="s">
        <v>439</v>
      </c>
      <c r="C390" s="9" t="s">
        <v>31</v>
      </c>
      <c r="D390" s="22">
        <v>42844</v>
      </c>
      <c r="E390" s="9">
        <v>1</v>
      </c>
      <c r="F390" s="9">
        <v>0</v>
      </c>
      <c r="G390" s="9">
        <v>1</v>
      </c>
      <c r="H390" s="9">
        <v>0</v>
      </c>
      <c r="I390" s="9">
        <v>1</v>
      </c>
      <c r="J390" s="9">
        <v>0</v>
      </c>
      <c r="K390" s="55"/>
      <c r="L390" s="24"/>
    </row>
    <row r="391" spans="2:12" x14ac:dyDescent="0.2">
      <c r="B391" s="6" t="s">
        <v>981</v>
      </c>
      <c r="C391" s="9" t="s">
        <v>20</v>
      </c>
      <c r="D391" s="22">
        <v>42860</v>
      </c>
      <c r="E391" s="9">
        <v>1</v>
      </c>
      <c r="F391" s="9">
        <v>0</v>
      </c>
      <c r="G391" s="9">
        <v>1</v>
      </c>
      <c r="H391" s="9">
        <v>0</v>
      </c>
      <c r="I391" s="9">
        <v>1</v>
      </c>
      <c r="J391" s="9">
        <v>0</v>
      </c>
      <c r="K391" s="55"/>
      <c r="L391" s="24"/>
    </row>
    <row r="392" spans="2:12" x14ac:dyDescent="0.2">
      <c r="B392" s="6" t="s">
        <v>693</v>
      </c>
      <c r="C392" s="9" t="s">
        <v>20</v>
      </c>
      <c r="D392" s="22">
        <v>42915</v>
      </c>
      <c r="E392" s="9">
        <v>1</v>
      </c>
      <c r="F392" s="9">
        <v>0</v>
      </c>
      <c r="G392" s="9">
        <v>1</v>
      </c>
      <c r="H392" s="9">
        <v>0</v>
      </c>
      <c r="I392" s="9">
        <v>1</v>
      </c>
      <c r="J392" s="9">
        <v>0</v>
      </c>
      <c r="K392" s="55"/>
      <c r="L392" s="24"/>
    </row>
    <row r="393" spans="2:12" x14ac:dyDescent="0.2">
      <c r="B393" s="6" t="s">
        <v>609</v>
      </c>
      <c r="C393" s="9" t="s">
        <v>20</v>
      </c>
      <c r="D393" s="22">
        <v>42880</v>
      </c>
      <c r="E393" s="9">
        <v>1</v>
      </c>
      <c r="F393" s="9">
        <v>0</v>
      </c>
      <c r="G393" s="9">
        <v>1</v>
      </c>
      <c r="H393" s="9">
        <v>0</v>
      </c>
      <c r="I393" s="9">
        <v>1</v>
      </c>
      <c r="J393" s="9">
        <v>0</v>
      </c>
      <c r="K393" s="55"/>
      <c r="L393" s="24"/>
    </row>
    <row r="394" spans="2:12" x14ac:dyDescent="0.2">
      <c r="B394" s="6" t="s">
        <v>314</v>
      </c>
      <c r="C394" s="9" t="s">
        <v>20</v>
      </c>
      <c r="D394" s="22">
        <v>42876</v>
      </c>
      <c r="E394" s="9">
        <v>1</v>
      </c>
      <c r="F394" s="9">
        <v>0</v>
      </c>
      <c r="G394" s="9">
        <v>1</v>
      </c>
      <c r="H394" s="9">
        <v>0</v>
      </c>
      <c r="I394" s="9">
        <v>1</v>
      </c>
      <c r="J394" s="9">
        <v>0</v>
      </c>
      <c r="K394" s="55"/>
      <c r="L394" s="24"/>
    </row>
    <row r="395" spans="2:12" x14ac:dyDescent="0.2">
      <c r="B395" s="6" t="s">
        <v>772</v>
      </c>
      <c r="C395" s="9" t="s">
        <v>31</v>
      </c>
      <c r="D395" s="22">
        <v>42862</v>
      </c>
      <c r="E395" s="9">
        <v>1</v>
      </c>
      <c r="F395" s="9">
        <v>0</v>
      </c>
      <c r="G395" s="9">
        <v>1</v>
      </c>
      <c r="H395" s="9">
        <v>0</v>
      </c>
      <c r="I395" s="9">
        <v>1</v>
      </c>
      <c r="J395" s="9">
        <v>0</v>
      </c>
      <c r="K395" s="55"/>
      <c r="L395" s="24"/>
    </row>
    <row r="396" spans="2:12" x14ac:dyDescent="0.2">
      <c r="B396" s="6" t="s">
        <v>45</v>
      </c>
      <c r="C396" s="9" t="s">
        <v>20</v>
      </c>
      <c r="D396" s="22">
        <v>42907</v>
      </c>
      <c r="E396" s="9">
        <v>1</v>
      </c>
      <c r="F396" s="9">
        <v>0</v>
      </c>
      <c r="G396" s="9">
        <v>1</v>
      </c>
      <c r="H396" s="9">
        <v>0</v>
      </c>
      <c r="I396" s="9">
        <v>1</v>
      </c>
      <c r="J396" s="9">
        <v>0</v>
      </c>
      <c r="K396" s="55"/>
      <c r="L396" s="24"/>
    </row>
    <row r="397" spans="2:12" x14ac:dyDescent="0.2">
      <c r="B397" s="6" t="s">
        <v>380</v>
      </c>
      <c r="C397" s="9" t="s">
        <v>31</v>
      </c>
      <c r="D397" s="22">
        <v>42848</v>
      </c>
      <c r="E397" s="9">
        <v>1</v>
      </c>
      <c r="F397" s="9">
        <v>0</v>
      </c>
      <c r="G397" s="9">
        <v>1</v>
      </c>
      <c r="H397" s="9">
        <v>0</v>
      </c>
      <c r="I397" s="9">
        <v>1</v>
      </c>
      <c r="J397" s="9">
        <v>0</v>
      </c>
      <c r="K397" s="55"/>
      <c r="L397" s="24"/>
    </row>
    <row r="398" spans="2:12" x14ac:dyDescent="0.2">
      <c r="B398" s="6" t="s">
        <v>625</v>
      </c>
      <c r="C398" s="9" t="s">
        <v>20</v>
      </c>
      <c r="D398" s="22">
        <v>42833</v>
      </c>
      <c r="E398" s="9">
        <v>1</v>
      </c>
      <c r="F398" s="9">
        <v>0</v>
      </c>
      <c r="G398" s="9">
        <v>1</v>
      </c>
      <c r="H398" s="9">
        <v>0</v>
      </c>
      <c r="I398" s="9">
        <v>1</v>
      </c>
      <c r="J398" s="9">
        <v>0</v>
      </c>
      <c r="K398" s="55"/>
      <c r="L398" s="24"/>
    </row>
    <row r="399" spans="2:12" x14ac:dyDescent="0.2">
      <c r="B399" s="6" t="s">
        <v>459</v>
      </c>
      <c r="C399" s="9" t="s">
        <v>20</v>
      </c>
      <c r="D399" s="22">
        <v>42862</v>
      </c>
      <c r="E399" s="9">
        <v>1</v>
      </c>
      <c r="F399" s="9">
        <v>0</v>
      </c>
      <c r="G399" s="9">
        <v>1</v>
      </c>
      <c r="H399" s="9">
        <v>0</v>
      </c>
      <c r="I399" s="9">
        <v>1</v>
      </c>
      <c r="J399" s="9">
        <v>0</v>
      </c>
      <c r="K399" s="55"/>
      <c r="L399" s="24"/>
    </row>
    <row r="400" spans="2:12" x14ac:dyDescent="0.2">
      <c r="B400" s="6" t="s">
        <v>387</v>
      </c>
      <c r="C400" s="9" t="s">
        <v>31</v>
      </c>
      <c r="D400" s="22">
        <v>42843</v>
      </c>
      <c r="E400" s="9">
        <v>1</v>
      </c>
      <c r="F400" s="9">
        <v>0</v>
      </c>
      <c r="G400" s="9">
        <v>1</v>
      </c>
      <c r="H400" s="9">
        <v>0</v>
      </c>
      <c r="I400" s="9">
        <v>1</v>
      </c>
      <c r="J400" s="9">
        <v>0</v>
      </c>
      <c r="K400" s="55"/>
      <c r="L400" s="24"/>
    </row>
    <row r="401" spans="2:12" x14ac:dyDescent="0.2">
      <c r="B401" s="6" t="s">
        <v>333</v>
      </c>
      <c r="C401" s="9" t="s">
        <v>31</v>
      </c>
      <c r="D401" s="22">
        <v>42892</v>
      </c>
      <c r="E401" s="9">
        <v>1</v>
      </c>
      <c r="F401" s="9">
        <v>0</v>
      </c>
      <c r="G401" s="9">
        <v>1</v>
      </c>
      <c r="H401" s="9">
        <v>0</v>
      </c>
      <c r="I401" s="9">
        <v>1</v>
      </c>
      <c r="J401" s="9">
        <v>0</v>
      </c>
      <c r="K401" s="55"/>
      <c r="L401" s="24"/>
    </row>
    <row r="402" spans="2:12" x14ac:dyDescent="0.2">
      <c r="B402" s="6" t="s">
        <v>183</v>
      </c>
      <c r="C402" s="9" t="s">
        <v>20</v>
      </c>
      <c r="D402" s="22">
        <v>42842</v>
      </c>
      <c r="E402" s="9">
        <v>1</v>
      </c>
      <c r="F402" s="9">
        <v>0</v>
      </c>
      <c r="G402" s="9">
        <v>1</v>
      </c>
      <c r="H402" s="9">
        <v>0</v>
      </c>
      <c r="I402" s="9">
        <v>1</v>
      </c>
      <c r="J402" s="9">
        <v>0</v>
      </c>
      <c r="K402" s="55"/>
      <c r="L402" s="24"/>
    </row>
    <row r="403" spans="2:12" x14ac:dyDescent="0.2">
      <c r="B403" s="6" t="s">
        <v>215</v>
      </c>
      <c r="C403" s="9" t="s">
        <v>31</v>
      </c>
      <c r="D403" s="22">
        <v>42844</v>
      </c>
      <c r="E403" s="9">
        <v>1</v>
      </c>
      <c r="F403" s="9">
        <v>0</v>
      </c>
      <c r="G403" s="9">
        <v>1</v>
      </c>
      <c r="H403" s="9">
        <v>0</v>
      </c>
      <c r="I403" s="9">
        <v>1</v>
      </c>
      <c r="J403" s="9">
        <v>0</v>
      </c>
      <c r="K403" s="55"/>
      <c r="L403" s="24"/>
    </row>
    <row r="404" spans="2:12" x14ac:dyDescent="0.2">
      <c r="B404" s="6" t="s">
        <v>745</v>
      </c>
      <c r="C404" s="9" t="s">
        <v>31</v>
      </c>
      <c r="D404" s="22">
        <v>42841</v>
      </c>
      <c r="E404" s="9">
        <v>1</v>
      </c>
      <c r="F404" s="9">
        <v>0</v>
      </c>
      <c r="G404" s="9">
        <v>1</v>
      </c>
      <c r="H404" s="9">
        <v>0</v>
      </c>
      <c r="I404" s="9">
        <v>1</v>
      </c>
      <c r="J404" s="9">
        <v>0</v>
      </c>
      <c r="K404" s="55"/>
      <c r="L404" s="24"/>
    </row>
    <row r="405" spans="2:12" x14ac:dyDescent="0.2">
      <c r="B405" s="6" t="s">
        <v>316</v>
      </c>
      <c r="C405" s="9" t="s">
        <v>31</v>
      </c>
      <c r="D405" s="22">
        <v>42852</v>
      </c>
      <c r="E405" s="9">
        <v>1</v>
      </c>
      <c r="F405" s="9">
        <v>0</v>
      </c>
      <c r="G405" s="9">
        <v>1</v>
      </c>
      <c r="H405" s="9">
        <v>0</v>
      </c>
      <c r="I405" s="9">
        <v>1</v>
      </c>
      <c r="J405" s="9">
        <v>0</v>
      </c>
      <c r="K405" s="55"/>
      <c r="L405" s="24"/>
    </row>
    <row r="406" spans="2:12" x14ac:dyDescent="0.2">
      <c r="B406" s="6" t="s">
        <v>466</v>
      </c>
      <c r="C406" s="9" t="s">
        <v>31</v>
      </c>
      <c r="D406" s="22">
        <v>42852</v>
      </c>
      <c r="E406" s="9">
        <v>1</v>
      </c>
      <c r="F406" s="9">
        <v>0</v>
      </c>
      <c r="G406" s="9">
        <v>1</v>
      </c>
      <c r="H406" s="9">
        <v>0</v>
      </c>
      <c r="I406" s="9">
        <v>1</v>
      </c>
      <c r="J406" s="9">
        <v>0</v>
      </c>
      <c r="K406" s="55"/>
      <c r="L406" s="24"/>
    </row>
    <row r="407" spans="2:12" x14ac:dyDescent="0.2">
      <c r="B407" s="6" t="s">
        <v>237</v>
      </c>
      <c r="C407" s="9" t="s">
        <v>31</v>
      </c>
      <c r="D407" s="22">
        <v>42915</v>
      </c>
      <c r="E407" s="9">
        <v>1</v>
      </c>
      <c r="F407" s="9">
        <v>0</v>
      </c>
      <c r="G407" s="9">
        <v>1</v>
      </c>
      <c r="H407" s="9">
        <v>0</v>
      </c>
      <c r="I407" s="9">
        <v>1</v>
      </c>
      <c r="J407" s="9">
        <v>0</v>
      </c>
      <c r="K407" s="55"/>
      <c r="L407" s="24"/>
    </row>
    <row r="408" spans="2:12" x14ac:dyDescent="0.2">
      <c r="B408" s="6" t="s">
        <v>454</v>
      </c>
      <c r="C408" s="9" t="s">
        <v>31</v>
      </c>
      <c r="D408" s="22">
        <v>42839</v>
      </c>
      <c r="E408" s="9">
        <v>1</v>
      </c>
      <c r="F408" s="9">
        <v>0</v>
      </c>
      <c r="G408" s="9">
        <v>1</v>
      </c>
      <c r="H408" s="9">
        <v>0</v>
      </c>
      <c r="I408" s="9">
        <v>1</v>
      </c>
      <c r="J408" s="9">
        <v>0</v>
      </c>
      <c r="K408" s="55"/>
      <c r="L408" s="24"/>
    </row>
    <row r="409" spans="2:12" x14ac:dyDescent="0.2">
      <c r="B409" s="6" t="s">
        <v>694</v>
      </c>
      <c r="C409" s="9" t="s">
        <v>20</v>
      </c>
      <c r="D409" s="22">
        <v>42905</v>
      </c>
      <c r="E409" s="9">
        <v>1</v>
      </c>
      <c r="F409" s="9">
        <v>0</v>
      </c>
      <c r="G409" s="9">
        <v>1</v>
      </c>
      <c r="H409" s="9">
        <v>0</v>
      </c>
      <c r="I409" s="9">
        <v>1</v>
      </c>
      <c r="J409" s="9">
        <v>0</v>
      </c>
      <c r="K409" s="55"/>
      <c r="L409" s="24"/>
    </row>
    <row r="410" spans="2:12" x14ac:dyDescent="0.2">
      <c r="B410" s="6" t="s">
        <v>324</v>
      </c>
      <c r="C410" s="9" t="s">
        <v>31</v>
      </c>
      <c r="D410" s="22">
        <v>42901</v>
      </c>
      <c r="E410" s="9">
        <v>1</v>
      </c>
      <c r="F410" s="9">
        <v>0</v>
      </c>
      <c r="G410" s="9">
        <v>1</v>
      </c>
      <c r="H410" s="9">
        <v>0</v>
      </c>
      <c r="I410" s="9">
        <v>1</v>
      </c>
      <c r="J410" s="9">
        <v>0</v>
      </c>
      <c r="K410" s="55"/>
      <c r="L410" s="24"/>
    </row>
    <row r="411" spans="2:12" x14ac:dyDescent="0.2">
      <c r="B411" s="6" t="s">
        <v>339</v>
      </c>
      <c r="C411" s="9" t="s">
        <v>31</v>
      </c>
      <c r="D411" s="22">
        <v>42904</v>
      </c>
      <c r="E411" s="9">
        <v>1</v>
      </c>
      <c r="F411" s="9">
        <v>0</v>
      </c>
      <c r="G411" s="9">
        <v>1</v>
      </c>
      <c r="H411" s="9">
        <v>0</v>
      </c>
      <c r="I411" s="9">
        <v>1</v>
      </c>
      <c r="J411" s="9">
        <v>0</v>
      </c>
      <c r="K411" s="55"/>
      <c r="L411" s="24"/>
    </row>
    <row r="412" spans="2:12" x14ac:dyDescent="0.2">
      <c r="B412" s="6" t="s">
        <v>510</v>
      </c>
      <c r="C412" s="9" t="s">
        <v>20</v>
      </c>
      <c r="D412" s="22">
        <v>42893</v>
      </c>
      <c r="E412" s="9">
        <v>1</v>
      </c>
      <c r="F412" s="9">
        <v>0</v>
      </c>
      <c r="G412" s="9">
        <v>1</v>
      </c>
      <c r="H412" s="9">
        <v>0</v>
      </c>
      <c r="I412" s="9">
        <v>1</v>
      </c>
      <c r="J412" s="9">
        <v>0</v>
      </c>
      <c r="K412" s="55"/>
      <c r="L412" s="24"/>
    </row>
    <row r="413" spans="2:12" x14ac:dyDescent="0.2">
      <c r="B413" s="6" t="s">
        <v>108</v>
      </c>
      <c r="C413" s="9" t="s">
        <v>20</v>
      </c>
      <c r="D413" s="22">
        <v>42891</v>
      </c>
      <c r="E413" s="9">
        <v>1</v>
      </c>
      <c r="F413" s="9">
        <v>0</v>
      </c>
      <c r="G413" s="9">
        <v>1</v>
      </c>
      <c r="H413" s="9">
        <v>0</v>
      </c>
      <c r="I413" s="9">
        <v>1</v>
      </c>
      <c r="J413" s="9">
        <v>0</v>
      </c>
      <c r="K413" s="55"/>
      <c r="L413" s="24"/>
    </row>
    <row r="414" spans="2:12" x14ac:dyDescent="0.2">
      <c r="B414" s="6" t="s">
        <v>274</v>
      </c>
      <c r="C414" s="9" t="s">
        <v>31</v>
      </c>
      <c r="D414" s="22">
        <v>42883</v>
      </c>
      <c r="E414" s="9">
        <v>1</v>
      </c>
      <c r="F414" s="9">
        <v>0</v>
      </c>
      <c r="G414" s="9">
        <v>1</v>
      </c>
      <c r="H414" s="9">
        <v>0</v>
      </c>
      <c r="I414" s="9">
        <v>1</v>
      </c>
      <c r="J414" s="9">
        <v>0</v>
      </c>
      <c r="K414" s="55"/>
      <c r="L414" s="24"/>
    </row>
    <row r="415" spans="2:12" x14ac:dyDescent="0.2">
      <c r="B415" s="6" t="s">
        <v>762</v>
      </c>
      <c r="C415" s="9" t="s">
        <v>31</v>
      </c>
      <c r="D415" s="22">
        <v>42873</v>
      </c>
      <c r="E415" s="9">
        <v>1</v>
      </c>
      <c r="F415" s="9">
        <v>0</v>
      </c>
      <c r="G415" s="9">
        <v>1</v>
      </c>
      <c r="H415" s="9">
        <v>0</v>
      </c>
      <c r="I415" s="9">
        <v>1</v>
      </c>
      <c r="J415" s="9">
        <v>0</v>
      </c>
      <c r="K415" s="55"/>
      <c r="L415" s="24"/>
    </row>
    <row r="416" spans="2:12" x14ac:dyDescent="0.2">
      <c r="B416" s="6" t="s">
        <v>614</v>
      </c>
      <c r="C416" s="9" t="s">
        <v>20</v>
      </c>
      <c r="D416" s="22">
        <v>42848</v>
      </c>
      <c r="E416" s="9">
        <v>1</v>
      </c>
      <c r="F416" s="9">
        <v>0</v>
      </c>
      <c r="G416" s="9">
        <v>1</v>
      </c>
      <c r="H416" s="9">
        <v>0</v>
      </c>
      <c r="I416" s="9">
        <v>1</v>
      </c>
      <c r="J416" s="9">
        <v>0</v>
      </c>
      <c r="K416" s="55"/>
      <c r="L416" s="24"/>
    </row>
    <row r="417" spans="2:12" x14ac:dyDescent="0.2">
      <c r="B417" s="6" t="s">
        <v>487</v>
      </c>
      <c r="C417" s="9" t="s">
        <v>20</v>
      </c>
      <c r="D417" s="22">
        <v>42899</v>
      </c>
      <c r="E417" s="9">
        <v>1</v>
      </c>
      <c r="F417" s="9">
        <v>0</v>
      </c>
      <c r="G417" s="9">
        <v>1</v>
      </c>
      <c r="H417" s="9">
        <v>0</v>
      </c>
      <c r="I417" s="9">
        <v>1</v>
      </c>
      <c r="J417" s="9">
        <v>0</v>
      </c>
      <c r="K417" s="55"/>
      <c r="L417" s="24"/>
    </row>
    <row r="418" spans="2:12" x14ac:dyDescent="0.2">
      <c r="B418" s="6" t="s">
        <v>326</v>
      </c>
      <c r="C418" s="9" t="s">
        <v>31</v>
      </c>
      <c r="D418" s="22">
        <v>42854</v>
      </c>
      <c r="E418" s="9">
        <v>1</v>
      </c>
      <c r="F418" s="9">
        <v>0</v>
      </c>
      <c r="G418" s="9">
        <v>1</v>
      </c>
      <c r="H418" s="9">
        <v>0</v>
      </c>
      <c r="I418" s="9">
        <v>1</v>
      </c>
      <c r="J418" s="9">
        <v>0</v>
      </c>
      <c r="K418" s="55"/>
      <c r="L418" s="24"/>
    </row>
    <row r="419" spans="2:12" x14ac:dyDescent="0.2">
      <c r="B419" s="6" t="s">
        <v>256</v>
      </c>
      <c r="C419" s="9" t="s">
        <v>20</v>
      </c>
      <c r="D419" s="22">
        <v>42868</v>
      </c>
      <c r="E419" s="9">
        <v>1</v>
      </c>
      <c r="F419" s="9">
        <v>0</v>
      </c>
      <c r="G419" s="9">
        <v>1</v>
      </c>
      <c r="H419" s="9">
        <v>0</v>
      </c>
      <c r="I419" s="9">
        <v>1</v>
      </c>
      <c r="J419" s="9">
        <v>0</v>
      </c>
      <c r="K419" s="55"/>
      <c r="L419" s="24"/>
    </row>
    <row r="420" spans="2:12" x14ac:dyDescent="0.2">
      <c r="B420" s="6" t="s">
        <v>637</v>
      </c>
      <c r="C420" s="9" t="s">
        <v>20</v>
      </c>
      <c r="D420" s="22">
        <v>42885</v>
      </c>
      <c r="E420" s="9">
        <v>1</v>
      </c>
      <c r="F420" s="9">
        <v>0</v>
      </c>
      <c r="G420" s="9">
        <v>1</v>
      </c>
      <c r="H420" s="9">
        <v>0</v>
      </c>
      <c r="I420" s="9">
        <v>1</v>
      </c>
      <c r="J420" s="9">
        <v>0</v>
      </c>
      <c r="K420" s="55"/>
      <c r="L420" s="24"/>
    </row>
    <row r="421" spans="2:12" x14ac:dyDescent="0.2">
      <c r="B421" s="6" t="s">
        <v>335</v>
      </c>
      <c r="C421" s="9" t="s">
        <v>20</v>
      </c>
      <c r="D421" s="22">
        <v>42865</v>
      </c>
      <c r="E421" s="9">
        <v>1</v>
      </c>
      <c r="F421" s="9">
        <v>0</v>
      </c>
      <c r="G421" s="9">
        <v>1</v>
      </c>
      <c r="H421" s="9">
        <v>0</v>
      </c>
      <c r="I421" s="9">
        <v>1</v>
      </c>
      <c r="J421" s="9">
        <v>0</v>
      </c>
      <c r="K421" s="55"/>
      <c r="L421" s="24"/>
    </row>
    <row r="422" spans="2:12" x14ac:dyDescent="0.2">
      <c r="B422" s="6" t="s">
        <v>146</v>
      </c>
      <c r="C422" s="9" t="s">
        <v>20</v>
      </c>
      <c r="D422" s="22">
        <v>42881</v>
      </c>
      <c r="E422" s="9">
        <v>1</v>
      </c>
      <c r="F422" s="9">
        <v>0</v>
      </c>
      <c r="G422" s="9">
        <v>1</v>
      </c>
      <c r="H422" s="9">
        <v>0</v>
      </c>
      <c r="I422" s="9">
        <v>1</v>
      </c>
      <c r="J422" s="9">
        <v>0</v>
      </c>
      <c r="K422" s="55"/>
      <c r="L422" s="24"/>
    </row>
    <row r="423" spans="2:12" x14ac:dyDescent="0.2">
      <c r="B423" s="6" t="s">
        <v>233</v>
      </c>
      <c r="C423" s="9" t="s">
        <v>31</v>
      </c>
      <c r="D423" s="22">
        <v>42826</v>
      </c>
      <c r="E423" s="9">
        <v>1</v>
      </c>
      <c r="F423" s="9">
        <v>0</v>
      </c>
      <c r="G423" s="9">
        <v>1</v>
      </c>
      <c r="H423" s="9">
        <v>0</v>
      </c>
      <c r="I423" s="9">
        <v>1</v>
      </c>
      <c r="J423" s="9">
        <v>0</v>
      </c>
      <c r="K423" s="55"/>
      <c r="L423" s="24"/>
    </row>
    <row r="424" spans="2:12" x14ac:dyDescent="0.2">
      <c r="B424" s="6" t="s">
        <v>485</v>
      </c>
      <c r="C424" s="9" t="s">
        <v>31</v>
      </c>
      <c r="D424" s="22">
        <v>42861</v>
      </c>
      <c r="E424" s="9">
        <v>1</v>
      </c>
      <c r="F424" s="9">
        <v>0</v>
      </c>
      <c r="G424" s="9">
        <v>1</v>
      </c>
      <c r="H424" s="9">
        <v>0</v>
      </c>
      <c r="I424" s="9">
        <v>1</v>
      </c>
      <c r="J424" s="9">
        <v>0</v>
      </c>
      <c r="K424" s="55"/>
      <c r="L424" s="24"/>
    </row>
    <row r="425" spans="2:12" x14ac:dyDescent="0.2">
      <c r="B425" s="6" t="s">
        <v>590</v>
      </c>
      <c r="C425" s="9" t="s">
        <v>31</v>
      </c>
      <c r="D425" s="22">
        <v>42864</v>
      </c>
      <c r="E425" s="9">
        <v>1</v>
      </c>
      <c r="F425" s="9">
        <v>0</v>
      </c>
      <c r="G425" s="9">
        <v>1</v>
      </c>
      <c r="H425" s="9">
        <v>0</v>
      </c>
      <c r="I425" s="9">
        <v>1</v>
      </c>
      <c r="J425" s="9">
        <v>0</v>
      </c>
      <c r="K425" s="55"/>
      <c r="L425" s="24"/>
    </row>
    <row r="426" spans="2:12" x14ac:dyDescent="0.2">
      <c r="B426" s="6" t="s">
        <v>67</v>
      </c>
      <c r="C426" s="9" t="s">
        <v>31</v>
      </c>
      <c r="D426" s="22">
        <v>42858</v>
      </c>
      <c r="E426" s="9">
        <v>1</v>
      </c>
      <c r="F426" s="9">
        <v>0</v>
      </c>
      <c r="G426" s="9">
        <v>1</v>
      </c>
      <c r="H426" s="9">
        <v>0</v>
      </c>
      <c r="I426" s="9">
        <v>1</v>
      </c>
      <c r="J426" s="9">
        <v>0</v>
      </c>
      <c r="K426" s="55"/>
      <c r="L426" s="24"/>
    </row>
    <row r="427" spans="2:12" x14ac:dyDescent="0.2">
      <c r="B427" s="6" t="s">
        <v>374</v>
      </c>
      <c r="C427" s="9" t="s">
        <v>20</v>
      </c>
      <c r="D427" s="22">
        <v>42851</v>
      </c>
      <c r="E427" s="9">
        <v>1</v>
      </c>
      <c r="F427" s="9">
        <v>0</v>
      </c>
      <c r="G427" s="9">
        <v>1</v>
      </c>
      <c r="H427" s="9">
        <v>0</v>
      </c>
      <c r="I427" s="9">
        <v>1</v>
      </c>
      <c r="J427" s="9">
        <v>0</v>
      </c>
      <c r="K427" s="55"/>
      <c r="L427" s="24"/>
    </row>
    <row r="428" spans="2:12" x14ac:dyDescent="0.2">
      <c r="B428" s="6" t="s">
        <v>430</v>
      </c>
      <c r="C428" s="9" t="s">
        <v>31</v>
      </c>
      <c r="D428" s="22">
        <v>42883</v>
      </c>
      <c r="E428" s="9">
        <v>1</v>
      </c>
      <c r="F428" s="9">
        <v>0</v>
      </c>
      <c r="G428" s="9">
        <v>1</v>
      </c>
      <c r="H428" s="9">
        <v>0</v>
      </c>
      <c r="I428" s="9">
        <v>1</v>
      </c>
      <c r="J428" s="9">
        <v>0</v>
      </c>
      <c r="K428" s="55"/>
      <c r="L428" s="24"/>
    </row>
    <row r="429" spans="2:12" x14ac:dyDescent="0.2">
      <c r="B429" s="6" t="s">
        <v>553</v>
      </c>
      <c r="C429" s="9" t="s">
        <v>20</v>
      </c>
      <c r="D429" s="22">
        <v>42844</v>
      </c>
      <c r="E429" s="9">
        <v>1</v>
      </c>
      <c r="F429" s="9">
        <v>0</v>
      </c>
      <c r="G429" s="9">
        <v>1</v>
      </c>
      <c r="H429" s="9">
        <v>0</v>
      </c>
      <c r="I429" s="9">
        <v>1</v>
      </c>
      <c r="J429" s="9">
        <v>0</v>
      </c>
      <c r="K429" s="55"/>
      <c r="L429" s="24"/>
    </row>
    <row r="430" spans="2:12" x14ac:dyDescent="0.2">
      <c r="B430" s="6" t="s">
        <v>646</v>
      </c>
      <c r="C430" s="9" t="s">
        <v>31</v>
      </c>
      <c r="D430" s="22">
        <v>42855</v>
      </c>
      <c r="E430" s="9">
        <v>1</v>
      </c>
      <c r="F430" s="9">
        <v>0</v>
      </c>
      <c r="G430" s="9">
        <v>1</v>
      </c>
      <c r="H430" s="9">
        <v>0</v>
      </c>
      <c r="I430" s="9">
        <v>1</v>
      </c>
      <c r="J430" s="9">
        <v>0</v>
      </c>
      <c r="K430" s="55"/>
      <c r="L430" s="24"/>
    </row>
    <row r="431" spans="2:12" x14ac:dyDescent="0.2">
      <c r="B431" s="6" t="s">
        <v>522</v>
      </c>
      <c r="C431" s="9" t="s">
        <v>20</v>
      </c>
      <c r="D431" s="22">
        <v>42892</v>
      </c>
      <c r="E431" s="9">
        <v>1</v>
      </c>
      <c r="F431" s="9">
        <v>0</v>
      </c>
      <c r="G431" s="9">
        <v>1</v>
      </c>
      <c r="H431" s="9">
        <v>0</v>
      </c>
      <c r="I431" s="9">
        <v>1</v>
      </c>
      <c r="J431" s="9">
        <v>0</v>
      </c>
      <c r="K431" s="55"/>
      <c r="L431" s="24"/>
    </row>
    <row r="432" spans="2:12" x14ac:dyDescent="0.2">
      <c r="B432" s="6" t="s">
        <v>638</v>
      </c>
      <c r="C432" s="9" t="s">
        <v>20</v>
      </c>
      <c r="D432" s="22">
        <v>42862</v>
      </c>
      <c r="E432" s="9">
        <v>1</v>
      </c>
      <c r="F432" s="9">
        <v>0</v>
      </c>
      <c r="G432" s="9">
        <v>1</v>
      </c>
      <c r="H432" s="9">
        <v>0</v>
      </c>
      <c r="I432" s="9">
        <v>1</v>
      </c>
      <c r="J432" s="9">
        <v>0</v>
      </c>
      <c r="K432" s="55"/>
      <c r="L432" s="24"/>
    </row>
    <row r="433" spans="2:12" x14ac:dyDescent="0.2">
      <c r="B433" s="6" t="s">
        <v>70</v>
      </c>
      <c r="C433" s="9" t="s">
        <v>31</v>
      </c>
      <c r="D433" s="22">
        <v>42912</v>
      </c>
      <c r="E433" s="9">
        <v>1</v>
      </c>
      <c r="F433" s="9">
        <v>0</v>
      </c>
      <c r="G433" s="9">
        <v>1</v>
      </c>
      <c r="H433" s="9">
        <v>0</v>
      </c>
      <c r="I433" s="9">
        <v>1</v>
      </c>
      <c r="J433" s="9">
        <v>0</v>
      </c>
      <c r="K433" s="55"/>
      <c r="L433" s="24"/>
    </row>
    <row r="434" spans="2:12" x14ac:dyDescent="0.2">
      <c r="B434" s="6" t="s">
        <v>96</v>
      </c>
      <c r="C434" s="9" t="s">
        <v>31</v>
      </c>
      <c r="D434" s="22">
        <v>42855</v>
      </c>
      <c r="E434" s="9">
        <v>1</v>
      </c>
      <c r="F434" s="9">
        <v>0</v>
      </c>
      <c r="G434" s="9">
        <v>1</v>
      </c>
      <c r="H434" s="9">
        <v>0</v>
      </c>
      <c r="I434" s="9">
        <v>1</v>
      </c>
      <c r="J434" s="9">
        <v>0</v>
      </c>
      <c r="K434" s="55"/>
      <c r="L434" s="24"/>
    </row>
    <row r="435" spans="2:12" x14ac:dyDescent="0.2">
      <c r="B435" s="6" t="s">
        <v>286</v>
      </c>
      <c r="C435" s="9" t="s">
        <v>20</v>
      </c>
      <c r="D435" s="22">
        <v>42884</v>
      </c>
      <c r="E435" s="9">
        <v>1</v>
      </c>
      <c r="F435" s="9">
        <v>0</v>
      </c>
      <c r="G435" s="9">
        <v>1</v>
      </c>
      <c r="H435" s="9">
        <v>0</v>
      </c>
      <c r="I435" s="9">
        <v>1</v>
      </c>
      <c r="J435" s="9">
        <v>0</v>
      </c>
      <c r="K435" s="55"/>
      <c r="L435" s="24"/>
    </row>
    <row r="436" spans="2:12" x14ac:dyDescent="0.2">
      <c r="B436" s="6" t="s">
        <v>680</v>
      </c>
      <c r="C436" s="9" t="s">
        <v>31</v>
      </c>
      <c r="D436" s="22">
        <v>42905</v>
      </c>
      <c r="E436" s="9">
        <v>1</v>
      </c>
      <c r="F436" s="9">
        <v>0</v>
      </c>
      <c r="G436" s="9">
        <v>1</v>
      </c>
      <c r="H436" s="9">
        <v>0</v>
      </c>
      <c r="I436" s="9">
        <v>1</v>
      </c>
      <c r="J436" s="9">
        <v>0</v>
      </c>
      <c r="K436" s="55"/>
      <c r="L436" s="24"/>
    </row>
    <row r="437" spans="2:12" x14ac:dyDescent="0.2">
      <c r="B437" s="6" t="s">
        <v>513</v>
      </c>
      <c r="C437" s="9" t="s">
        <v>20</v>
      </c>
      <c r="D437" s="22">
        <v>42852</v>
      </c>
      <c r="E437" s="9">
        <v>1</v>
      </c>
      <c r="F437" s="9">
        <v>0</v>
      </c>
      <c r="G437" s="9">
        <v>1</v>
      </c>
      <c r="H437" s="9">
        <v>0</v>
      </c>
      <c r="I437" s="9">
        <v>1</v>
      </c>
      <c r="J437" s="9">
        <v>0</v>
      </c>
      <c r="K437" s="55"/>
      <c r="L437" s="24"/>
    </row>
    <row r="438" spans="2:12" x14ac:dyDescent="0.2">
      <c r="B438" s="6" t="s">
        <v>475</v>
      </c>
      <c r="C438" s="9" t="s">
        <v>20</v>
      </c>
      <c r="D438" s="22">
        <v>42827</v>
      </c>
      <c r="E438" s="9">
        <v>1</v>
      </c>
      <c r="F438" s="9">
        <v>0</v>
      </c>
      <c r="G438" s="9">
        <v>1</v>
      </c>
      <c r="H438" s="9">
        <v>0</v>
      </c>
      <c r="I438" s="9">
        <v>1</v>
      </c>
      <c r="J438" s="9">
        <v>0</v>
      </c>
      <c r="K438" s="55"/>
      <c r="L438" s="24"/>
    </row>
    <row r="439" spans="2:12" x14ac:dyDescent="0.2">
      <c r="B439" s="6" t="s">
        <v>537</v>
      </c>
      <c r="C439" s="9" t="s">
        <v>20</v>
      </c>
      <c r="D439" s="22">
        <v>42901</v>
      </c>
      <c r="E439" s="9">
        <v>1</v>
      </c>
      <c r="F439" s="9">
        <v>0</v>
      </c>
      <c r="G439" s="9">
        <v>1</v>
      </c>
      <c r="H439" s="9">
        <v>0</v>
      </c>
      <c r="I439" s="9">
        <v>1</v>
      </c>
      <c r="J439" s="9">
        <v>0</v>
      </c>
      <c r="K439" s="55"/>
      <c r="L439" s="24"/>
    </row>
    <row r="440" spans="2:12" x14ac:dyDescent="0.2">
      <c r="B440" s="6" t="s">
        <v>85</v>
      </c>
      <c r="C440" s="9" t="s">
        <v>20</v>
      </c>
      <c r="D440" s="22">
        <v>42852</v>
      </c>
      <c r="E440" s="9">
        <v>1</v>
      </c>
      <c r="F440" s="9">
        <v>0</v>
      </c>
      <c r="G440" s="9">
        <v>1</v>
      </c>
      <c r="H440" s="9">
        <v>0</v>
      </c>
      <c r="I440" s="9">
        <v>1</v>
      </c>
      <c r="J440" s="9">
        <v>0</v>
      </c>
      <c r="K440" s="55"/>
      <c r="L440" s="24"/>
    </row>
    <row r="441" spans="2:12" x14ac:dyDescent="0.2">
      <c r="B441" s="6" t="s">
        <v>769</v>
      </c>
      <c r="C441" s="9" t="s">
        <v>20</v>
      </c>
      <c r="D441" s="22">
        <v>42877</v>
      </c>
      <c r="E441" s="9">
        <v>1</v>
      </c>
      <c r="F441" s="9">
        <v>0</v>
      </c>
      <c r="G441" s="9">
        <v>1</v>
      </c>
      <c r="H441" s="9">
        <v>0</v>
      </c>
      <c r="I441" s="9">
        <v>1</v>
      </c>
      <c r="J441" s="9">
        <v>0</v>
      </c>
      <c r="K441" s="55"/>
      <c r="L441" s="24"/>
    </row>
    <row r="442" spans="2:12" x14ac:dyDescent="0.2">
      <c r="B442" s="6" t="s">
        <v>271</v>
      </c>
      <c r="C442" s="9" t="s">
        <v>31</v>
      </c>
      <c r="D442" s="22">
        <v>42869</v>
      </c>
      <c r="E442" s="9">
        <v>1</v>
      </c>
      <c r="F442" s="9">
        <v>0</v>
      </c>
      <c r="G442" s="9">
        <v>1</v>
      </c>
      <c r="H442" s="9">
        <v>0</v>
      </c>
      <c r="I442" s="9">
        <v>1</v>
      </c>
      <c r="J442" s="9">
        <v>0</v>
      </c>
      <c r="K442" s="55"/>
      <c r="L442" s="24"/>
    </row>
    <row r="443" spans="2:12" x14ac:dyDescent="0.2">
      <c r="B443" s="6" t="s">
        <v>644</v>
      </c>
      <c r="C443" s="9" t="s">
        <v>31</v>
      </c>
      <c r="D443" s="22">
        <v>42832</v>
      </c>
      <c r="E443" s="9">
        <v>1</v>
      </c>
      <c r="F443" s="9">
        <v>0</v>
      </c>
      <c r="G443" s="9">
        <v>1</v>
      </c>
      <c r="H443" s="9">
        <v>0</v>
      </c>
      <c r="I443" s="9">
        <v>1</v>
      </c>
      <c r="J443" s="9">
        <v>0</v>
      </c>
      <c r="K443" s="55"/>
      <c r="L443" s="24"/>
    </row>
    <row r="444" spans="2:12" x14ac:dyDescent="0.2">
      <c r="B444" s="6" t="s">
        <v>99</v>
      </c>
      <c r="C444" s="9" t="s">
        <v>31</v>
      </c>
      <c r="D444" s="22">
        <v>42868</v>
      </c>
      <c r="E444" s="9">
        <v>1</v>
      </c>
      <c r="F444" s="9">
        <v>0</v>
      </c>
      <c r="G444" s="9">
        <v>1</v>
      </c>
      <c r="H444" s="9">
        <v>0</v>
      </c>
      <c r="I444" s="9">
        <v>1</v>
      </c>
      <c r="J444" s="9">
        <v>0</v>
      </c>
      <c r="K444" s="55"/>
      <c r="L444" s="24"/>
    </row>
    <row r="445" spans="2:12" x14ac:dyDescent="0.2">
      <c r="B445" s="6" t="s">
        <v>378</v>
      </c>
      <c r="C445" s="9" t="s">
        <v>31</v>
      </c>
      <c r="D445" s="22">
        <v>42827</v>
      </c>
      <c r="E445" s="9">
        <v>1</v>
      </c>
      <c r="F445" s="9">
        <v>0</v>
      </c>
      <c r="G445" s="9">
        <v>1</v>
      </c>
      <c r="H445" s="9">
        <v>0</v>
      </c>
      <c r="I445" s="9">
        <v>1</v>
      </c>
      <c r="J445" s="9">
        <v>0</v>
      </c>
      <c r="K445" s="55"/>
      <c r="L445" s="24"/>
    </row>
    <row r="446" spans="2:12" x14ac:dyDescent="0.2">
      <c r="B446" s="6" t="s">
        <v>450</v>
      </c>
      <c r="C446" s="9" t="s">
        <v>20</v>
      </c>
      <c r="D446" s="22">
        <v>42875</v>
      </c>
      <c r="E446" s="9">
        <v>1</v>
      </c>
      <c r="F446" s="9">
        <v>0</v>
      </c>
      <c r="G446" s="9">
        <v>1</v>
      </c>
      <c r="H446" s="9">
        <v>0</v>
      </c>
      <c r="I446" s="9">
        <v>1</v>
      </c>
      <c r="J446" s="9">
        <v>0</v>
      </c>
      <c r="K446" s="55"/>
      <c r="L446" s="24"/>
    </row>
    <row r="447" spans="2:12" x14ac:dyDescent="0.2">
      <c r="B447" s="6" t="s">
        <v>589</v>
      </c>
      <c r="C447" s="9" t="s">
        <v>20</v>
      </c>
      <c r="D447" s="22">
        <v>42887</v>
      </c>
      <c r="E447" s="9">
        <v>1</v>
      </c>
      <c r="F447" s="9">
        <v>0</v>
      </c>
      <c r="G447" s="9">
        <v>1</v>
      </c>
      <c r="H447" s="9">
        <v>0</v>
      </c>
      <c r="I447" s="9">
        <v>1</v>
      </c>
      <c r="J447" s="9">
        <v>0</v>
      </c>
      <c r="K447" s="55"/>
      <c r="L447" s="24"/>
    </row>
    <row r="448" spans="2:12" x14ac:dyDescent="0.2">
      <c r="B448" s="6" t="s">
        <v>483</v>
      </c>
      <c r="C448" s="9" t="s">
        <v>31</v>
      </c>
      <c r="D448" s="22">
        <v>42849</v>
      </c>
      <c r="E448" s="9">
        <v>1</v>
      </c>
      <c r="F448" s="9">
        <v>0</v>
      </c>
      <c r="G448" s="9">
        <v>1</v>
      </c>
      <c r="H448" s="9">
        <v>0</v>
      </c>
      <c r="I448" s="9">
        <v>1</v>
      </c>
      <c r="J448" s="9">
        <v>0</v>
      </c>
      <c r="K448" s="55"/>
      <c r="L448" s="24"/>
    </row>
    <row r="449" spans="2:12" x14ac:dyDescent="0.2">
      <c r="B449" s="6" t="s">
        <v>406</v>
      </c>
      <c r="C449" s="9" t="s">
        <v>31</v>
      </c>
      <c r="D449" s="22">
        <v>42861</v>
      </c>
      <c r="E449" s="9">
        <v>1</v>
      </c>
      <c r="F449" s="9">
        <v>0</v>
      </c>
      <c r="G449" s="9">
        <v>1</v>
      </c>
      <c r="H449" s="9">
        <v>0</v>
      </c>
      <c r="I449" s="9">
        <v>1</v>
      </c>
      <c r="J449" s="9">
        <v>0</v>
      </c>
      <c r="K449" s="55"/>
      <c r="L449" s="24"/>
    </row>
    <row r="450" spans="2:12" x14ac:dyDescent="0.2">
      <c r="B450" s="6" t="s">
        <v>114</v>
      </c>
      <c r="C450" s="9" t="s">
        <v>20</v>
      </c>
      <c r="D450" s="22">
        <v>42875</v>
      </c>
      <c r="E450" s="9">
        <v>1</v>
      </c>
      <c r="F450" s="9">
        <v>0</v>
      </c>
      <c r="G450" s="9">
        <v>1</v>
      </c>
      <c r="H450" s="9">
        <v>0</v>
      </c>
      <c r="I450" s="9">
        <v>1</v>
      </c>
      <c r="J450" s="9">
        <v>0</v>
      </c>
      <c r="K450" s="55"/>
      <c r="L450" s="24"/>
    </row>
    <row r="451" spans="2:12" x14ac:dyDescent="0.2">
      <c r="B451" s="6" t="s">
        <v>607</v>
      </c>
      <c r="C451" s="9" t="s">
        <v>31</v>
      </c>
      <c r="D451" s="22">
        <v>42898</v>
      </c>
      <c r="E451" s="9">
        <v>1</v>
      </c>
      <c r="F451" s="9">
        <v>0</v>
      </c>
      <c r="G451" s="9">
        <v>1</v>
      </c>
      <c r="H451" s="9">
        <v>0</v>
      </c>
      <c r="I451" s="9">
        <v>1</v>
      </c>
      <c r="J451" s="9">
        <v>0</v>
      </c>
      <c r="K451" s="55"/>
      <c r="L451" s="24"/>
    </row>
    <row r="452" spans="2:12" x14ac:dyDescent="0.2">
      <c r="B452" s="6" t="s">
        <v>554</v>
      </c>
      <c r="C452" s="9" t="s">
        <v>31</v>
      </c>
      <c r="D452" s="22">
        <v>42856</v>
      </c>
      <c r="E452" s="9">
        <v>1</v>
      </c>
      <c r="F452" s="9">
        <v>0</v>
      </c>
      <c r="G452" s="9">
        <v>1</v>
      </c>
      <c r="H452" s="9">
        <v>0</v>
      </c>
      <c r="I452" s="9">
        <v>1</v>
      </c>
      <c r="J452" s="9">
        <v>0</v>
      </c>
      <c r="K452" s="55"/>
      <c r="L452" s="24"/>
    </row>
    <row r="453" spans="2:12" x14ac:dyDescent="0.2">
      <c r="B453" s="6" t="s">
        <v>630</v>
      </c>
      <c r="C453" s="9" t="s">
        <v>20</v>
      </c>
      <c r="D453" s="22">
        <v>42861</v>
      </c>
      <c r="E453" s="9">
        <v>1</v>
      </c>
      <c r="F453" s="9">
        <v>0</v>
      </c>
      <c r="G453" s="9">
        <v>1</v>
      </c>
      <c r="H453" s="9">
        <v>0</v>
      </c>
      <c r="I453" s="9">
        <v>1</v>
      </c>
      <c r="J453" s="9">
        <v>0</v>
      </c>
      <c r="K453" s="55"/>
      <c r="L453" s="24"/>
    </row>
    <row r="454" spans="2:12" x14ac:dyDescent="0.2">
      <c r="B454" s="6" t="s">
        <v>158</v>
      </c>
      <c r="C454" s="9" t="s">
        <v>20</v>
      </c>
      <c r="D454" s="22">
        <v>42872</v>
      </c>
      <c r="E454" s="9">
        <v>1</v>
      </c>
      <c r="F454" s="9">
        <v>0</v>
      </c>
      <c r="G454" s="9">
        <v>1</v>
      </c>
      <c r="H454" s="9">
        <v>0</v>
      </c>
      <c r="I454" s="9">
        <v>1</v>
      </c>
      <c r="J454" s="9">
        <v>0</v>
      </c>
      <c r="K454" s="55"/>
      <c r="L454" s="24"/>
    </row>
    <row r="455" spans="2:12" x14ac:dyDescent="0.2">
      <c r="B455" s="6" t="s">
        <v>123</v>
      </c>
      <c r="C455" s="9" t="s">
        <v>31</v>
      </c>
      <c r="D455" s="22">
        <v>42901</v>
      </c>
      <c r="E455" s="9">
        <v>1</v>
      </c>
      <c r="F455" s="9">
        <v>0</v>
      </c>
      <c r="G455" s="9">
        <v>1</v>
      </c>
      <c r="H455" s="9">
        <v>0</v>
      </c>
      <c r="I455" s="9">
        <v>1</v>
      </c>
      <c r="J455" s="9">
        <v>0</v>
      </c>
      <c r="K455" s="55"/>
      <c r="L455" s="24"/>
    </row>
    <row r="456" spans="2:12" x14ac:dyDescent="0.2">
      <c r="B456" s="6" t="s">
        <v>754</v>
      </c>
      <c r="C456" s="9" t="s">
        <v>31</v>
      </c>
      <c r="D456" s="22">
        <v>42888</v>
      </c>
      <c r="E456" s="9">
        <v>1</v>
      </c>
      <c r="F456" s="9">
        <v>0</v>
      </c>
      <c r="G456" s="9">
        <v>1</v>
      </c>
      <c r="H456" s="9">
        <v>0</v>
      </c>
      <c r="I456" s="9">
        <v>1</v>
      </c>
      <c r="J456" s="9">
        <v>0</v>
      </c>
      <c r="K456" s="55"/>
      <c r="L456" s="24"/>
    </row>
    <row r="457" spans="2:12" x14ac:dyDescent="0.2">
      <c r="B457" s="6" t="s">
        <v>370</v>
      </c>
      <c r="C457" s="9" t="s">
        <v>20</v>
      </c>
      <c r="D457" s="22">
        <v>42910</v>
      </c>
      <c r="E457" s="9">
        <v>1</v>
      </c>
      <c r="F457" s="9">
        <v>0</v>
      </c>
      <c r="G457" s="9">
        <v>1</v>
      </c>
      <c r="H457" s="9">
        <v>0</v>
      </c>
      <c r="I457" s="9">
        <v>1</v>
      </c>
      <c r="J457" s="9">
        <v>0</v>
      </c>
      <c r="K457" s="55"/>
      <c r="L457" s="24"/>
    </row>
    <row r="458" spans="2:12" x14ac:dyDescent="0.2">
      <c r="B458" s="6" t="s">
        <v>507</v>
      </c>
      <c r="C458" s="9" t="s">
        <v>31</v>
      </c>
      <c r="D458" s="22">
        <v>42882</v>
      </c>
      <c r="E458" s="9">
        <v>1</v>
      </c>
      <c r="F458" s="9">
        <v>0</v>
      </c>
      <c r="G458" s="9">
        <v>1</v>
      </c>
      <c r="H458" s="9">
        <v>0</v>
      </c>
      <c r="I458" s="9">
        <v>1</v>
      </c>
      <c r="J458" s="9">
        <v>0</v>
      </c>
      <c r="K458" s="55"/>
      <c r="L458" s="24"/>
    </row>
    <row r="459" spans="2:12" x14ac:dyDescent="0.2">
      <c r="B459" s="6" t="s">
        <v>493</v>
      </c>
      <c r="C459" s="9" t="s">
        <v>31</v>
      </c>
      <c r="D459" s="22">
        <v>42915</v>
      </c>
      <c r="E459" s="9">
        <v>1</v>
      </c>
      <c r="F459" s="9">
        <v>0</v>
      </c>
      <c r="G459" s="9">
        <v>1</v>
      </c>
      <c r="H459" s="9">
        <v>0</v>
      </c>
      <c r="I459" s="9">
        <v>1</v>
      </c>
      <c r="J459" s="9">
        <v>0</v>
      </c>
      <c r="K459" s="55"/>
      <c r="L459" s="24"/>
    </row>
    <row r="460" spans="2:12" x14ac:dyDescent="0.2">
      <c r="B460" s="6" t="s">
        <v>255</v>
      </c>
      <c r="C460" s="9" t="s">
        <v>20</v>
      </c>
      <c r="D460" s="22">
        <v>42869</v>
      </c>
      <c r="E460" s="9">
        <v>1</v>
      </c>
      <c r="F460" s="9">
        <v>0</v>
      </c>
      <c r="G460" s="9">
        <v>1</v>
      </c>
      <c r="H460" s="9">
        <v>0</v>
      </c>
      <c r="I460" s="9">
        <v>1</v>
      </c>
      <c r="J460" s="9">
        <v>0</v>
      </c>
      <c r="K460" s="55"/>
      <c r="L460" s="24"/>
    </row>
    <row r="461" spans="2:12" x14ac:dyDescent="0.2">
      <c r="B461" s="6" t="s">
        <v>767</v>
      </c>
      <c r="C461" s="9" t="s">
        <v>20</v>
      </c>
      <c r="D461" s="22">
        <v>42850</v>
      </c>
      <c r="E461" s="9">
        <v>1</v>
      </c>
      <c r="F461" s="9">
        <v>0</v>
      </c>
      <c r="G461" s="9">
        <v>1</v>
      </c>
      <c r="H461" s="9">
        <v>0</v>
      </c>
      <c r="I461" s="9">
        <v>1</v>
      </c>
      <c r="J461" s="9">
        <v>0</v>
      </c>
      <c r="K461" s="55"/>
      <c r="L461" s="24"/>
    </row>
    <row r="462" spans="2:12" x14ac:dyDescent="0.2">
      <c r="B462" s="6" t="s">
        <v>338</v>
      </c>
      <c r="C462" s="9" t="s">
        <v>20</v>
      </c>
      <c r="D462" s="22">
        <v>42855</v>
      </c>
      <c r="E462" s="9">
        <v>0</v>
      </c>
      <c r="F462" s="9">
        <v>0</v>
      </c>
      <c r="G462" s="9">
        <v>1</v>
      </c>
      <c r="H462" s="9">
        <v>0</v>
      </c>
      <c r="I462" s="9">
        <v>1</v>
      </c>
      <c r="J462" s="9">
        <v>0</v>
      </c>
      <c r="K462" s="55"/>
      <c r="L462" s="24"/>
    </row>
    <row r="463" spans="2:12" x14ac:dyDescent="0.2">
      <c r="B463" s="6" t="s">
        <v>65</v>
      </c>
      <c r="C463" s="9" t="s">
        <v>20</v>
      </c>
      <c r="D463" s="22">
        <v>42833</v>
      </c>
      <c r="E463" s="9">
        <v>0</v>
      </c>
      <c r="F463" s="9">
        <v>0</v>
      </c>
      <c r="G463" s="9">
        <v>1</v>
      </c>
      <c r="H463" s="9">
        <v>0</v>
      </c>
      <c r="I463" s="9">
        <v>1</v>
      </c>
      <c r="J463" s="9">
        <v>0</v>
      </c>
      <c r="K463" s="55"/>
      <c r="L463" s="24"/>
    </row>
    <row r="464" spans="2:12" x14ac:dyDescent="0.2">
      <c r="B464" s="6" t="s">
        <v>319</v>
      </c>
      <c r="C464" s="9" t="s">
        <v>31</v>
      </c>
      <c r="D464" s="22">
        <v>42883</v>
      </c>
      <c r="E464" s="9">
        <v>0</v>
      </c>
      <c r="F464" s="9">
        <v>0</v>
      </c>
      <c r="G464" s="9">
        <v>1</v>
      </c>
      <c r="H464" s="9">
        <v>0</v>
      </c>
      <c r="I464" s="9">
        <v>1</v>
      </c>
      <c r="J464" s="9">
        <v>0</v>
      </c>
      <c r="K464" s="55"/>
      <c r="L464" s="24"/>
    </row>
    <row r="465" spans="2:12" x14ac:dyDescent="0.2">
      <c r="B465" s="6" t="s">
        <v>404</v>
      </c>
      <c r="C465" s="9" t="s">
        <v>20</v>
      </c>
      <c r="D465" s="22">
        <v>42912</v>
      </c>
      <c r="E465" s="9">
        <v>0</v>
      </c>
      <c r="F465" s="9">
        <v>0</v>
      </c>
      <c r="G465" s="9">
        <v>1</v>
      </c>
      <c r="H465" s="9">
        <v>0</v>
      </c>
      <c r="I465" s="9">
        <v>1</v>
      </c>
      <c r="J465" s="9">
        <v>0</v>
      </c>
      <c r="K465" s="55"/>
      <c r="L465" s="24"/>
    </row>
    <row r="466" spans="2:12" x14ac:dyDescent="0.2">
      <c r="B466" s="6" t="s">
        <v>180</v>
      </c>
      <c r="C466" s="9" t="s">
        <v>31</v>
      </c>
      <c r="D466" s="22">
        <v>42846</v>
      </c>
      <c r="E466" s="9">
        <v>0</v>
      </c>
      <c r="F466" s="9">
        <v>0</v>
      </c>
      <c r="G466" s="9">
        <v>1</v>
      </c>
      <c r="H466" s="9">
        <v>0</v>
      </c>
      <c r="I466" s="9">
        <v>1</v>
      </c>
      <c r="J466" s="9">
        <v>0</v>
      </c>
      <c r="K466" s="55"/>
      <c r="L466" s="24"/>
    </row>
    <row r="467" spans="2:12" x14ac:dyDescent="0.2">
      <c r="B467" s="6" t="s">
        <v>423</v>
      </c>
      <c r="C467" s="9" t="s">
        <v>31</v>
      </c>
      <c r="D467" s="22">
        <v>42897</v>
      </c>
      <c r="E467" s="9">
        <v>0</v>
      </c>
      <c r="F467" s="9">
        <v>0</v>
      </c>
      <c r="G467" s="9">
        <v>1</v>
      </c>
      <c r="H467" s="9">
        <v>0</v>
      </c>
      <c r="I467" s="9">
        <v>1</v>
      </c>
      <c r="J467" s="9">
        <v>0</v>
      </c>
      <c r="K467" s="55"/>
      <c r="L467" s="24"/>
    </row>
    <row r="468" spans="2:12" x14ac:dyDescent="0.2">
      <c r="B468" s="6" t="s">
        <v>347</v>
      </c>
      <c r="C468" s="9" t="s">
        <v>20</v>
      </c>
      <c r="D468" s="22">
        <v>42855</v>
      </c>
      <c r="E468" s="9">
        <v>0</v>
      </c>
      <c r="F468" s="9">
        <v>0</v>
      </c>
      <c r="G468" s="9">
        <v>1</v>
      </c>
      <c r="H468" s="9">
        <v>0</v>
      </c>
      <c r="I468" s="9">
        <v>1</v>
      </c>
      <c r="J468" s="9">
        <v>0</v>
      </c>
      <c r="K468" s="55"/>
      <c r="L468" s="24"/>
    </row>
    <row r="469" spans="2:12" x14ac:dyDescent="0.2">
      <c r="B469" s="6" t="s">
        <v>71</v>
      </c>
      <c r="C469" s="9" t="s">
        <v>31</v>
      </c>
      <c r="D469" s="22">
        <v>42915</v>
      </c>
      <c r="E469" s="9">
        <v>0</v>
      </c>
      <c r="F469" s="9">
        <v>0</v>
      </c>
      <c r="G469" s="9">
        <v>1</v>
      </c>
      <c r="H469" s="9">
        <v>0</v>
      </c>
      <c r="I469" s="9">
        <v>1</v>
      </c>
      <c r="J469" s="9">
        <v>0</v>
      </c>
      <c r="K469" s="55"/>
      <c r="L469" s="24"/>
    </row>
    <row r="470" spans="2:12" x14ac:dyDescent="0.2">
      <c r="B470" s="6" t="s">
        <v>342</v>
      </c>
      <c r="C470" s="9" t="s">
        <v>20</v>
      </c>
      <c r="D470" s="22">
        <v>42879</v>
      </c>
      <c r="E470" s="9">
        <v>0</v>
      </c>
      <c r="F470" s="9">
        <v>0</v>
      </c>
      <c r="G470" s="9">
        <v>1</v>
      </c>
      <c r="H470" s="9">
        <v>0</v>
      </c>
      <c r="I470" s="9">
        <v>1</v>
      </c>
      <c r="J470" s="9">
        <v>0</v>
      </c>
      <c r="K470" s="55"/>
      <c r="L470" s="24"/>
    </row>
    <row r="471" spans="2:12" x14ac:dyDescent="0.2">
      <c r="B471" s="6" t="s">
        <v>181</v>
      </c>
      <c r="C471" s="9" t="s">
        <v>31</v>
      </c>
      <c r="D471" s="22">
        <v>42883</v>
      </c>
      <c r="E471" s="9">
        <v>0</v>
      </c>
      <c r="F471" s="9">
        <v>0</v>
      </c>
      <c r="G471" s="9">
        <v>1</v>
      </c>
      <c r="H471" s="9">
        <v>0</v>
      </c>
      <c r="I471" s="9">
        <v>1</v>
      </c>
      <c r="J471" s="9">
        <v>0</v>
      </c>
      <c r="K471" s="55"/>
      <c r="L471" s="24"/>
    </row>
    <row r="472" spans="2:12" x14ac:dyDescent="0.2">
      <c r="B472" s="6" t="s">
        <v>494</v>
      </c>
      <c r="C472" s="9" t="s">
        <v>20</v>
      </c>
      <c r="D472" s="22">
        <v>42840</v>
      </c>
      <c r="E472" s="9">
        <v>0</v>
      </c>
      <c r="F472" s="9">
        <v>0</v>
      </c>
      <c r="G472" s="9">
        <v>1</v>
      </c>
      <c r="H472" s="9">
        <v>0</v>
      </c>
      <c r="I472" s="9">
        <v>1</v>
      </c>
      <c r="J472" s="9">
        <v>0</v>
      </c>
      <c r="K472" s="55"/>
      <c r="L472" s="24"/>
    </row>
    <row r="473" spans="2:12" x14ac:dyDescent="0.2">
      <c r="B473" s="6" t="s">
        <v>373</v>
      </c>
      <c r="C473" s="9" t="s">
        <v>31</v>
      </c>
      <c r="D473" s="22">
        <v>42914</v>
      </c>
      <c r="E473" s="9">
        <v>0</v>
      </c>
      <c r="F473" s="9">
        <v>0</v>
      </c>
      <c r="G473" s="9">
        <v>1</v>
      </c>
      <c r="H473" s="9">
        <v>0</v>
      </c>
      <c r="I473" s="9">
        <v>1</v>
      </c>
      <c r="J473" s="9">
        <v>0</v>
      </c>
      <c r="K473" s="55"/>
      <c r="L473" s="24"/>
    </row>
    <row r="474" spans="2:12" x14ac:dyDescent="0.2">
      <c r="B474" s="6" t="s">
        <v>400</v>
      </c>
      <c r="C474" s="9" t="s">
        <v>31</v>
      </c>
      <c r="D474" s="22">
        <v>42861</v>
      </c>
      <c r="E474" s="9">
        <v>0</v>
      </c>
      <c r="F474" s="9">
        <v>0</v>
      </c>
      <c r="G474" s="9">
        <v>1</v>
      </c>
      <c r="H474" s="9">
        <v>0</v>
      </c>
      <c r="I474" s="9">
        <v>1</v>
      </c>
      <c r="J474" s="9">
        <v>0</v>
      </c>
      <c r="K474" s="55"/>
      <c r="L474" s="24"/>
    </row>
    <row r="475" spans="2:12" x14ac:dyDescent="0.2">
      <c r="B475" s="6" t="s">
        <v>420</v>
      </c>
      <c r="C475" s="9" t="s">
        <v>20</v>
      </c>
      <c r="D475" s="22">
        <v>42847</v>
      </c>
      <c r="E475" s="9">
        <v>0</v>
      </c>
      <c r="F475" s="9">
        <v>0</v>
      </c>
      <c r="G475" s="9">
        <v>1</v>
      </c>
      <c r="H475" s="9">
        <v>0</v>
      </c>
      <c r="I475" s="9">
        <v>1</v>
      </c>
      <c r="J475" s="9">
        <v>0</v>
      </c>
      <c r="K475" s="55"/>
      <c r="L475" s="24"/>
    </row>
    <row r="476" spans="2:12" x14ac:dyDescent="0.2">
      <c r="B476" s="6" t="s">
        <v>196</v>
      </c>
      <c r="C476" s="9" t="s">
        <v>20</v>
      </c>
      <c r="D476" s="22">
        <v>42834</v>
      </c>
      <c r="E476" s="9">
        <v>0</v>
      </c>
      <c r="F476" s="9">
        <v>0</v>
      </c>
      <c r="G476" s="9">
        <v>1</v>
      </c>
      <c r="H476" s="9">
        <v>0</v>
      </c>
      <c r="I476" s="9">
        <v>1</v>
      </c>
      <c r="J476" s="9">
        <v>0</v>
      </c>
      <c r="K476" s="55"/>
      <c r="L476" s="24"/>
    </row>
    <row r="477" spans="2:12" x14ac:dyDescent="0.2">
      <c r="B477" s="6" t="s">
        <v>511</v>
      </c>
      <c r="C477" s="9" t="s">
        <v>31</v>
      </c>
      <c r="D477" s="22">
        <v>42916</v>
      </c>
      <c r="E477" s="9">
        <v>0</v>
      </c>
      <c r="F477" s="9">
        <v>0</v>
      </c>
      <c r="G477" s="9">
        <v>1</v>
      </c>
      <c r="H477" s="9">
        <v>0</v>
      </c>
      <c r="I477" s="9">
        <v>1</v>
      </c>
      <c r="J477" s="9">
        <v>0</v>
      </c>
      <c r="K477" s="55"/>
      <c r="L477" s="24"/>
    </row>
    <row r="478" spans="2:12" x14ac:dyDescent="0.2">
      <c r="B478" s="6" t="s">
        <v>739</v>
      </c>
      <c r="C478" s="9" t="s">
        <v>20</v>
      </c>
      <c r="D478" s="22">
        <v>42861</v>
      </c>
      <c r="E478" s="9">
        <v>0</v>
      </c>
      <c r="F478" s="9">
        <v>0</v>
      </c>
      <c r="G478" s="9">
        <v>1</v>
      </c>
      <c r="H478" s="9">
        <v>0</v>
      </c>
      <c r="I478" s="9">
        <v>1</v>
      </c>
      <c r="J478" s="9">
        <v>0</v>
      </c>
      <c r="K478" s="55"/>
      <c r="L478" s="24"/>
    </row>
    <row r="479" spans="2:12" x14ac:dyDescent="0.2">
      <c r="B479" s="6" t="s">
        <v>91</v>
      </c>
      <c r="C479" s="9" t="s">
        <v>20</v>
      </c>
      <c r="D479" s="22">
        <v>42828</v>
      </c>
      <c r="E479" s="9">
        <v>0</v>
      </c>
      <c r="F479" s="9">
        <v>0</v>
      </c>
      <c r="G479" s="9">
        <v>1</v>
      </c>
      <c r="H479" s="9">
        <v>0</v>
      </c>
      <c r="I479" s="9">
        <v>1</v>
      </c>
      <c r="J479" s="9">
        <v>0</v>
      </c>
      <c r="K479" s="55"/>
      <c r="L479" s="24"/>
    </row>
    <row r="480" spans="2:12" x14ac:dyDescent="0.2">
      <c r="B480" s="6" t="s">
        <v>222</v>
      </c>
      <c r="C480" s="9" t="s">
        <v>20</v>
      </c>
      <c r="D480" s="22">
        <v>42835</v>
      </c>
      <c r="E480" s="9">
        <v>0</v>
      </c>
      <c r="F480" s="9">
        <v>0</v>
      </c>
      <c r="G480" s="9">
        <v>1</v>
      </c>
      <c r="H480" s="9">
        <v>0</v>
      </c>
      <c r="I480" s="9">
        <v>1</v>
      </c>
      <c r="J480" s="9">
        <v>0</v>
      </c>
      <c r="K480" s="55"/>
      <c r="L480" s="24"/>
    </row>
    <row r="481" spans="2:12" x14ac:dyDescent="0.2">
      <c r="B481" s="6" t="s">
        <v>216</v>
      </c>
      <c r="C481" s="9" t="s">
        <v>31</v>
      </c>
      <c r="D481" s="22">
        <v>42860</v>
      </c>
      <c r="E481" s="9">
        <v>0</v>
      </c>
      <c r="F481" s="9">
        <v>0</v>
      </c>
      <c r="G481" s="9">
        <v>1</v>
      </c>
      <c r="H481" s="9">
        <v>0</v>
      </c>
      <c r="I481" s="9">
        <v>1</v>
      </c>
      <c r="J481" s="9">
        <v>0</v>
      </c>
      <c r="K481" s="55"/>
      <c r="L481" s="24"/>
    </row>
    <row r="482" spans="2:12" x14ac:dyDescent="0.2">
      <c r="B482" s="6" t="s">
        <v>743</v>
      </c>
      <c r="C482" s="9" t="s">
        <v>31</v>
      </c>
      <c r="D482" s="22">
        <v>42856</v>
      </c>
      <c r="E482" s="9">
        <v>0</v>
      </c>
      <c r="F482" s="9">
        <v>0</v>
      </c>
      <c r="G482" s="9">
        <v>1</v>
      </c>
      <c r="H482" s="9">
        <v>0</v>
      </c>
      <c r="I482" s="9">
        <v>1</v>
      </c>
      <c r="J482" s="9">
        <v>0</v>
      </c>
      <c r="K482" s="55"/>
      <c r="L482" s="24"/>
    </row>
    <row r="483" spans="2:12" x14ac:dyDescent="0.2">
      <c r="B483" s="6" t="s">
        <v>463</v>
      </c>
      <c r="C483" s="9" t="s">
        <v>31</v>
      </c>
      <c r="D483" s="22">
        <v>42885</v>
      </c>
      <c r="E483" s="9">
        <v>0</v>
      </c>
      <c r="F483" s="9">
        <v>0</v>
      </c>
      <c r="G483" s="9">
        <v>1</v>
      </c>
      <c r="H483" s="9">
        <v>0</v>
      </c>
      <c r="I483" s="9">
        <v>1</v>
      </c>
      <c r="J483" s="9">
        <v>0</v>
      </c>
      <c r="K483" s="55"/>
      <c r="L483" s="24"/>
    </row>
    <row r="484" spans="2:12" x14ac:dyDescent="0.2">
      <c r="B484" s="6" t="s">
        <v>527</v>
      </c>
      <c r="C484" s="9" t="s">
        <v>20</v>
      </c>
      <c r="D484" s="22">
        <v>42898</v>
      </c>
      <c r="E484" s="9">
        <v>0</v>
      </c>
      <c r="F484" s="9">
        <v>0</v>
      </c>
      <c r="G484" s="9">
        <v>1</v>
      </c>
      <c r="H484" s="9">
        <v>0</v>
      </c>
      <c r="I484" s="9">
        <v>1</v>
      </c>
      <c r="J484" s="9">
        <v>0</v>
      </c>
      <c r="K484" s="55"/>
      <c r="L484" s="24"/>
    </row>
    <row r="485" spans="2:12" x14ac:dyDescent="0.2">
      <c r="B485" s="6" t="s">
        <v>267</v>
      </c>
      <c r="C485" s="9" t="s">
        <v>31</v>
      </c>
      <c r="D485" s="22">
        <v>42834</v>
      </c>
      <c r="E485" s="9">
        <v>0</v>
      </c>
      <c r="F485" s="9">
        <v>0</v>
      </c>
      <c r="G485" s="9">
        <v>1</v>
      </c>
      <c r="H485" s="9">
        <v>0</v>
      </c>
      <c r="I485" s="9">
        <v>1</v>
      </c>
      <c r="J485" s="9">
        <v>0</v>
      </c>
      <c r="K485" s="55"/>
      <c r="L485" s="24"/>
    </row>
    <row r="486" spans="2:12" x14ac:dyDescent="0.2">
      <c r="B486" s="6" t="s">
        <v>112</v>
      </c>
      <c r="C486" s="9" t="s">
        <v>31</v>
      </c>
      <c r="D486" s="22">
        <v>42859</v>
      </c>
      <c r="E486" s="9">
        <v>0</v>
      </c>
      <c r="F486" s="9">
        <v>0</v>
      </c>
      <c r="G486" s="9">
        <v>1</v>
      </c>
      <c r="H486" s="9">
        <v>0</v>
      </c>
      <c r="I486" s="9">
        <v>1</v>
      </c>
      <c r="J486" s="9">
        <v>0</v>
      </c>
      <c r="K486" s="55"/>
      <c r="L486" s="24"/>
    </row>
    <row r="487" spans="2:12" x14ac:dyDescent="0.2">
      <c r="B487" s="6" t="s">
        <v>195</v>
      </c>
      <c r="C487" s="9" t="s">
        <v>20</v>
      </c>
      <c r="D487" s="22">
        <v>42866</v>
      </c>
      <c r="E487" s="9">
        <v>0</v>
      </c>
      <c r="F487" s="9">
        <v>0</v>
      </c>
      <c r="G487" s="9">
        <v>1</v>
      </c>
      <c r="H487" s="9">
        <v>0</v>
      </c>
      <c r="I487" s="9">
        <v>1</v>
      </c>
      <c r="J487" s="9">
        <v>0</v>
      </c>
      <c r="K487" s="55"/>
      <c r="L487" s="24"/>
    </row>
    <row r="488" spans="2:12" x14ac:dyDescent="0.2">
      <c r="B488" s="6" t="s">
        <v>357</v>
      </c>
      <c r="C488" s="9" t="s">
        <v>31</v>
      </c>
      <c r="D488" s="22">
        <v>42894</v>
      </c>
      <c r="E488" s="9">
        <v>0</v>
      </c>
      <c r="F488" s="9">
        <v>0</v>
      </c>
      <c r="G488" s="9">
        <v>1</v>
      </c>
      <c r="H488" s="9">
        <v>0</v>
      </c>
      <c r="I488" s="9">
        <v>1</v>
      </c>
      <c r="J488" s="9">
        <v>0</v>
      </c>
      <c r="K488" s="55"/>
      <c r="L488" s="24"/>
    </row>
    <row r="489" spans="2:12" x14ac:dyDescent="0.2">
      <c r="B489" s="6" t="s">
        <v>336</v>
      </c>
      <c r="C489" s="9" t="s">
        <v>20</v>
      </c>
      <c r="D489" s="22">
        <v>42869</v>
      </c>
      <c r="E489" s="9">
        <v>0</v>
      </c>
      <c r="F489" s="9">
        <v>0</v>
      </c>
      <c r="G489" s="9">
        <v>1</v>
      </c>
      <c r="H489" s="9">
        <v>0</v>
      </c>
      <c r="I489" s="9">
        <v>1</v>
      </c>
      <c r="J489" s="9">
        <v>0</v>
      </c>
      <c r="K489" s="55"/>
      <c r="L489" s="24"/>
    </row>
    <row r="490" spans="2:12" x14ac:dyDescent="0.2">
      <c r="B490" s="6" t="s">
        <v>115</v>
      </c>
      <c r="C490" s="9" t="s">
        <v>20</v>
      </c>
      <c r="D490" s="22">
        <v>42842</v>
      </c>
      <c r="E490" s="9">
        <v>0</v>
      </c>
      <c r="F490" s="9">
        <v>0</v>
      </c>
      <c r="G490" s="9">
        <v>1</v>
      </c>
      <c r="H490" s="9">
        <v>0</v>
      </c>
      <c r="I490" s="9">
        <v>1</v>
      </c>
      <c r="J490" s="9">
        <v>0</v>
      </c>
      <c r="K490" s="55"/>
      <c r="L490" s="24"/>
    </row>
    <row r="491" spans="2:12" x14ac:dyDescent="0.2">
      <c r="B491" s="6" t="s">
        <v>671</v>
      </c>
      <c r="C491" s="9" t="s">
        <v>31</v>
      </c>
      <c r="D491" s="22">
        <v>42879</v>
      </c>
      <c r="E491" s="9">
        <v>0</v>
      </c>
      <c r="F491" s="9">
        <v>0</v>
      </c>
      <c r="G491" s="9">
        <v>1</v>
      </c>
      <c r="H491" s="9">
        <v>0</v>
      </c>
      <c r="I491" s="9">
        <v>1</v>
      </c>
      <c r="J491" s="9">
        <v>0</v>
      </c>
      <c r="K491" s="55"/>
      <c r="L491" s="24"/>
    </row>
    <row r="492" spans="2:12" x14ac:dyDescent="0.2">
      <c r="B492" s="6" t="s">
        <v>160</v>
      </c>
      <c r="C492" s="9" t="s">
        <v>31</v>
      </c>
      <c r="D492" s="22">
        <v>42886</v>
      </c>
      <c r="E492" s="9">
        <v>0</v>
      </c>
      <c r="F492" s="9">
        <v>0</v>
      </c>
      <c r="G492" s="9">
        <v>1</v>
      </c>
      <c r="H492" s="9">
        <v>0</v>
      </c>
      <c r="I492" s="9">
        <v>1</v>
      </c>
      <c r="J492" s="9">
        <v>0</v>
      </c>
      <c r="K492" s="55"/>
      <c r="L492" s="24"/>
    </row>
    <row r="493" spans="2:12" x14ac:dyDescent="0.2">
      <c r="B493" s="6" t="s">
        <v>771</v>
      </c>
      <c r="C493" s="9" t="s">
        <v>20</v>
      </c>
      <c r="D493" s="22">
        <v>42860</v>
      </c>
      <c r="E493" s="9">
        <v>0</v>
      </c>
      <c r="F493" s="9">
        <v>0</v>
      </c>
      <c r="G493" s="9">
        <v>1</v>
      </c>
      <c r="H493" s="9">
        <v>0</v>
      </c>
      <c r="I493" s="9">
        <v>1</v>
      </c>
      <c r="J493" s="9">
        <v>0</v>
      </c>
      <c r="K493" s="55"/>
      <c r="L493" s="24"/>
    </row>
    <row r="494" spans="2:12" x14ac:dyDescent="0.2">
      <c r="B494" s="6" t="s">
        <v>738</v>
      </c>
      <c r="C494" s="9" t="s">
        <v>31</v>
      </c>
      <c r="D494" s="22">
        <v>42900</v>
      </c>
      <c r="E494" s="9">
        <v>0</v>
      </c>
      <c r="F494" s="9">
        <v>0</v>
      </c>
      <c r="G494" s="9">
        <v>1</v>
      </c>
      <c r="H494" s="9">
        <v>0</v>
      </c>
      <c r="I494" s="9">
        <v>1</v>
      </c>
      <c r="J494" s="9">
        <v>0</v>
      </c>
      <c r="K494" s="55"/>
      <c r="L494" s="24"/>
    </row>
    <row r="495" spans="2:12" x14ac:dyDescent="0.2">
      <c r="B495" s="6" t="s">
        <v>61</v>
      </c>
      <c r="C495" s="9" t="s">
        <v>20</v>
      </c>
      <c r="D495" s="22">
        <v>42844</v>
      </c>
      <c r="E495" s="9">
        <v>0</v>
      </c>
      <c r="F495" s="9">
        <v>0</v>
      </c>
      <c r="G495" s="9">
        <v>1</v>
      </c>
      <c r="H495" s="9">
        <v>0</v>
      </c>
      <c r="I495" s="9">
        <v>1</v>
      </c>
      <c r="J495" s="9">
        <v>0</v>
      </c>
      <c r="K495" s="55"/>
      <c r="L495" s="24"/>
    </row>
    <row r="496" spans="2:12" x14ac:dyDescent="0.2">
      <c r="B496" s="6" t="s">
        <v>541</v>
      </c>
      <c r="C496" s="9" t="s">
        <v>31</v>
      </c>
      <c r="D496" s="22">
        <v>42834</v>
      </c>
      <c r="E496" s="9">
        <v>0</v>
      </c>
      <c r="F496" s="9">
        <v>0</v>
      </c>
      <c r="G496" s="9">
        <v>1</v>
      </c>
      <c r="H496" s="9">
        <v>0</v>
      </c>
      <c r="I496" s="9">
        <v>1</v>
      </c>
      <c r="J496" s="9">
        <v>0</v>
      </c>
      <c r="K496" s="55"/>
      <c r="L496" s="24"/>
    </row>
    <row r="497" spans="2:12" x14ac:dyDescent="0.2">
      <c r="B497" s="6" t="s">
        <v>135</v>
      </c>
      <c r="C497" s="9" t="s">
        <v>20</v>
      </c>
      <c r="D497" s="22">
        <v>42866</v>
      </c>
      <c r="E497" s="9">
        <v>0</v>
      </c>
      <c r="F497" s="9">
        <v>0</v>
      </c>
      <c r="G497" s="9">
        <v>1</v>
      </c>
      <c r="H497" s="9">
        <v>0</v>
      </c>
      <c r="I497" s="9">
        <v>1</v>
      </c>
      <c r="J497" s="9">
        <v>0</v>
      </c>
      <c r="K497" s="55"/>
      <c r="L497" s="24"/>
    </row>
    <row r="498" spans="2:12" x14ac:dyDescent="0.2">
      <c r="B498" s="6" t="s">
        <v>594</v>
      </c>
      <c r="C498" s="9" t="s">
        <v>20</v>
      </c>
      <c r="D498" s="22">
        <v>42852</v>
      </c>
      <c r="E498" s="9">
        <v>0</v>
      </c>
      <c r="F498" s="9">
        <v>0</v>
      </c>
      <c r="G498" s="9">
        <v>1</v>
      </c>
      <c r="H498" s="9">
        <v>0</v>
      </c>
      <c r="I498" s="9">
        <v>1</v>
      </c>
      <c r="J498" s="9">
        <v>0</v>
      </c>
      <c r="K498" s="55"/>
      <c r="L498" s="24"/>
    </row>
    <row r="499" spans="2:12" x14ac:dyDescent="0.2">
      <c r="B499" s="6" t="s">
        <v>742</v>
      </c>
      <c r="C499" s="9" t="s">
        <v>31</v>
      </c>
      <c r="D499" s="22">
        <v>42867</v>
      </c>
      <c r="E499" s="9">
        <v>0</v>
      </c>
      <c r="F499" s="9">
        <v>0</v>
      </c>
      <c r="G499" s="9">
        <v>1</v>
      </c>
      <c r="H499" s="9">
        <v>0</v>
      </c>
      <c r="I499" s="9">
        <v>1</v>
      </c>
      <c r="J499" s="9">
        <v>0</v>
      </c>
      <c r="K499" s="55"/>
      <c r="L499" s="24"/>
    </row>
    <row r="500" spans="2:12" x14ac:dyDescent="0.2">
      <c r="B500" s="6" t="s">
        <v>354</v>
      </c>
      <c r="C500" s="9" t="s">
        <v>31</v>
      </c>
      <c r="D500" s="22">
        <v>42878</v>
      </c>
      <c r="E500" s="9">
        <v>0</v>
      </c>
      <c r="F500" s="9">
        <v>0</v>
      </c>
      <c r="G500" s="9">
        <v>1</v>
      </c>
      <c r="H500" s="9">
        <v>0</v>
      </c>
      <c r="I500" s="9">
        <v>1</v>
      </c>
      <c r="J500" s="9">
        <v>0</v>
      </c>
      <c r="K500" s="55"/>
      <c r="L500" s="24"/>
    </row>
    <row r="501" spans="2:12" x14ac:dyDescent="0.2">
      <c r="B501" s="6" t="s">
        <v>492</v>
      </c>
      <c r="C501" s="9" t="s">
        <v>20</v>
      </c>
      <c r="D501" s="22">
        <v>42860</v>
      </c>
      <c r="E501" s="9">
        <v>0</v>
      </c>
      <c r="F501" s="9">
        <v>0</v>
      </c>
      <c r="G501" s="9">
        <v>1</v>
      </c>
      <c r="H501" s="9">
        <v>0</v>
      </c>
      <c r="I501" s="9">
        <v>1</v>
      </c>
      <c r="J501" s="9">
        <v>0</v>
      </c>
      <c r="K501" s="55"/>
      <c r="L501" s="24"/>
    </row>
    <row r="502" spans="2:12" x14ac:dyDescent="0.2">
      <c r="B502" s="6" t="s">
        <v>276</v>
      </c>
      <c r="C502" s="9" t="s">
        <v>20</v>
      </c>
      <c r="D502" s="22">
        <v>42883</v>
      </c>
      <c r="E502" s="9">
        <v>0</v>
      </c>
      <c r="F502" s="9">
        <v>0</v>
      </c>
      <c r="G502" s="9">
        <v>1</v>
      </c>
      <c r="H502" s="9">
        <v>0</v>
      </c>
      <c r="I502" s="9">
        <v>1</v>
      </c>
      <c r="J502" s="9">
        <v>0</v>
      </c>
      <c r="K502" s="55"/>
      <c r="L502" s="24"/>
    </row>
    <row r="503" spans="2:12" x14ac:dyDescent="0.2">
      <c r="B503" s="6" t="s">
        <v>95</v>
      </c>
      <c r="C503" s="9" t="s">
        <v>31</v>
      </c>
      <c r="D503" s="22">
        <v>42835</v>
      </c>
      <c r="E503" s="9">
        <v>0</v>
      </c>
      <c r="F503" s="9">
        <v>0</v>
      </c>
      <c r="G503" s="9">
        <v>1</v>
      </c>
      <c r="H503" s="9">
        <v>0</v>
      </c>
      <c r="I503" s="9">
        <v>1</v>
      </c>
      <c r="J503" s="9">
        <v>0</v>
      </c>
      <c r="K503" s="55"/>
      <c r="L503" s="24"/>
    </row>
    <row r="504" spans="2:12" x14ac:dyDescent="0.2">
      <c r="B504" s="6" t="s">
        <v>582</v>
      </c>
      <c r="C504" s="9" t="s">
        <v>20</v>
      </c>
      <c r="D504" s="22">
        <v>42864</v>
      </c>
      <c r="E504" s="9">
        <v>0</v>
      </c>
      <c r="F504" s="9">
        <v>0</v>
      </c>
      <c r="G504" s="9">
        <v>1</v>
      </c>
      <c r="H504" s="9">
        <v>0</v>
      </c>
      <c r="I504" s="9">
        <v>1</v>
      </c>
      <c r="J504" s="9">
        <v>0</v>
      </c>
      <c r="K504" s="55"/>
      <c r="L504" s="24"/>
    </row>
    <row r="505" spans="2:12" x14ac:dyDescent="0.2">
      <c r="B505" s="6" t="s">
        <v>982</v>
      </c>
      <c r="C505" s="9" t="s">
        <v>20</v>
      </c>
      <c r="D505" s="22">
        <v>42858</v>
      </c>
      <c r="E505" s="9">
        <v>0</v>
      </c>
      <c r="F505" s="9">
        <v>0</v>
      </c>
      <c r="G505" s="9">
        <v>1</v>
      </c>
      <c r="H505" s="9">
        <v>0</v>
      </c>
      <c r="I505" s="9">
        <v>1</v>
      </c>
      <c r="J505" s="9">
        <v>0</v>
      </c>
      <c r="K505" s="55"/>
      <c r="L505" s="24"/>
    </row>
    <row r="506" spans="2:12" x14ac:dyDescent="0.2">
      <c r="B506" s="6" t="s">
        <v>653</v>
      </c>
      <c r="C506" s="9" t="s">
        <v>20</v>
      </c>
      <c r="D506" s="22">
        <v>42902</v>
      </c>
      <c r="E506" s="9">
        <v>0</v>
      </c>
      <c r="F506" s="9">
        <v>0</v>
      </c>
      <c r="G506" s="9">
        <v>1</v>
      </c>
      <c r="H506" s="9">
        <v>0</v>
      </c>
      <c r="I506" s="9">
        <v>1</v>
      </c>
      <c r="J506" s="9">
        <v>0</v>
      </c>
      <c r="K506" s="55"/>
      <c r="L506" s="24"/>
    </row>
    <row r="507" spans="2:12" x14ac:dyDescent="0.2">
      <c r="B507" s="6" t="s">
        <v>468</v>
      </c>
      <c r="C507" s="9" t="s">
        <v>31</v>
      </c>
      <c r="D507" s="22">
        <v>42873</v>
      </c>
      <c r="E507" s="9">
        <v>0</v>
      </c>
      <c r="F507" s="9">
        <v>0</v>
      </c>
      <c r="G507" s="9">
        <v>1</v>
      </c>
      <c r="H507" s="9">
        <v>0</v>
      </c>
      <c r="I507" s="9">
        <v>1</v>
      </c>
      <c r="J507" s="9">
        <v>0</v>
      </c>
      <c r="K507" s="55"/>
      <c r="L507" s="24"/>
    </row>
    <row r="508" spans="2:12" x14ac:dyDescent="0.2">
      <c r="B508" s="6" t="s">
        <v>548</v>
      </c>
      <c r="C508" s="9" t="s">
        <v>20</v>
      </c>
      <c r="D508" s="22">
        <v>42833</v>
      </c>
      <c r="E508" s="9">
        <v>0</v>
      </c>
      <c r="F508" s="9">
        <v>0</v>
      </c>
      <c r="G508" s="9">
        <v>1</v>
      </c>
      <c r="H508" s="9">
        <v>0</v>
      </c>
      <c r="I508" s="9">
        <v>1</v>
      </c>
      <c r="J508" s="9">
        <v>0</v>
      </c>
      <c r="K508" s="55"/>
      <c r="L508" s="24"/>
    </row>
    <row r="509" spans="2:12" x14ac:dyDescent="0.2">
      <c r="B509" s="6" t="s">
        <v>361</v>
      </c>
      <c r="C509" s="9" t="s">
        <v>31</v>
      </c>
      <c r="D509" s="22">
        <v>42844</v>
      </c>
      <c r="E509" s="9">
        <v>0</v>
      </c>
      <c r="F509" s="9">
        <v>0</v>
      </c>
      <c r="G509" s="9">
        <v>1</v>
      </c>
      <c r="H509" s="9">
        <v>0</v>
      </c>
      <c r="I509" s="9">
        <v>1</v>
      </c>
      <c r="J509" s="9">
        <v>0</v>
      </c>
      <c r="K509" s="55"/>
      <c r="L509" s="24"/>
    </row>
    <row r="510" spans="2:12" x14ac:dyDescent="0.2">
      <c r="B510" s="6" t="s">
        <v>235</v>
      </c>
      <c r="C510" s="9" t="s">
        <v>20</v>
      </c>
      <c r="D510" s="22">
        <v>42908</v>
      </c>
      <c r="E510" s="9">
        <v>0</v>
      </c>
      <c r="F510" s="9">
        <v>0</v>
      </c>
      <c r="G510" s="9">
        <v>1</v>
      </c>
      <c r="H510" s="9">
        <v>0</v>
      </c>
      <c r="I510" s="9">
        <v>1</v>
      </c>
      <c r="J510" s="9">
        <v>0</v>
      </c>
      <c r="K510" s="55"/>
      <c r="L510" s="24"/>
    </row>
    <row r="511" spans="2:12" x14ac:dyDescent="0.2">
      <c r="B511" s="6" t="s">
        <v>616</v>
      </c>
      <c r="C511" s="9" t="s">
        <v>31</v>
      </c>
      <c r="D511" s="22">
        <v>42867</v>
      </c>
      <c r="E511" s="9">
        <v>0</v>
      </c>
      <c r="F511" s="9">
        <v>0</v>
      </c>
      <c r="G511" s="9">
        <v>1</v>
      </c>
      <c r="H511" s="9">
        <v>0</v>
      </c>
      <c r="I511" s="9">
        <v>1</v>
      </c>
      <c r="J511" s="9">
        <v>0</v>
      </c>
      <c r="K511" s="55"/>
      <c r="L511" s="24"/>
    </row>
    <row r="512" spans="2:12" x14ac:dyDescent="0.2">
      <c r="B512" s="6" t="s">
        <v>709</v>
      </c>
      <c r="C512" s="9" t="s">
        <v>31</v>
      </c>
      <c r="D512" s="22">
        <v>42835</v>
      </c>
      <c r="E512" s="9">
        <v>0</v>
      </c>
      <c r="F512" s="9">
        <v>0</v>
      </c>
      <c r="G512" s="9">
        <v>1</v>
      </c>
      <c r="H512" s="9">
        <v>0</v>
      </c>
      <c r="I512" s="9">
        <v>1</v>
      </c>
      <c r="J512" s="9">
        <v>0</v>
      </c>
      <c r="K512" s="55"/>
      <c r="L512" s="24"/>
    </row>
    <row r="513" spans="2:12" x14ac:dyDescent="0.2">
      <c r="B513" s="6" t="s">
        <v>559</v>
      </c>
      <c r="C513" s="9" t="s">
        <v>31</v>
      </c>
      <c r="D513" s="22">
        <v>42855</v>
      </c>
      <c r="E513" s="9">
        <v>0</v>
      </c>
      <c r="F513" s="9">
        <v>0</v>
      </c>
      <c r="G513" s="9">
        <v>1</v>
      </c>
      <c r="H513" s="9">
        <v>0</v>
      </c>
      <c r="I513" s="9">
        <v>1</v>
      </c>
      <c r="J513" s="9">
        <v>0</v>
      </c>
      <c r="K513" s="55"/>
      <c r="L513" s="24"/>
    </row>
    <row r="514" spans="2:12" x14ac:dyDescent="0.2">
      <c r="B514" s="6" t="s">
        <v>647</v>
      </c>
      <c r="C514" s="9" t="s">
        <v>20</v>
      </c>
      <c r="D514" s="22">
        <v>42893</v>
      </c>
      <c r="E514" s="9">
        <v>0</v>
      </c>
      <c r="F514" s="9">
        <v>0</v>
      </c>
      <c r="G514" s="9">
        <v>1</v>
      </c>
      <c r="H514" s="9">
        <v>0</v>
      </c>
      <c r="I514" s="9">
        <v>1</v>
      </c>
      <c r="J514" s="9">
        <v>0</v>
      </c>
      <c r="K514" s="55"/>
      <c r="L514" s="24"/>
    </row>
    <row r="515" spans="2:12" x14ac:dyDescent="0.2">
      <c r="B515" s="6" t="s">
        <v>77</v>
      </c>
      <c r="C515" s="9" t="s">
        <v>20</v>
      </c>
      <c r="D515" s="22">
        <v>42909</v>
      </c>
      <c r="E515" s="9">
        <v>0</v>
      </c>
      <c r="F515" s="9">
        <v>0</v>
      </c>
      <c r="G515" s="9">
        <v>1</v>
      </c>
      <c r="H515" s="9">
        <v>0</v>
      </c>
      <c r="I515" s="9">
        <v>1</v>
      </c>
      <c r="J515" s="9">
        <v>0</v>
      </c>
      <c r="K515" s="55"/>
      <c r="L515" s="24"/>
    </row>
    <row r="516" spans="2:12" x14ac:dyDescent="0.2">
      <c r="B516" s="6" t="s">
        <v>209</v>
      </c>
      <c r="C516" s="9" t="s">
        <v>31</v>
      </c>
      <c r="D516" s="22">
        <v>42872</v>
      </c>
      <c r="E516" s="9">
        <v>0</v>
      </c>
      <c r="F516" s="9">
        <v>0</v>
      </c>
      <c r="G516" s="9">
        <v>1</v>
      </c>
      <c r="H516" s="9">
        <v>0</v>
      </c>
      <c r="I516" s="9">
        <v>1</v>
      </c>
      <c r="J516" s="9">
        <v>0</v>
      </c>
      <c r="K516" s="55"/>
      <c r="L516" s="24"/>
    </row>
    <row r="517" spans="2:12" x14ac:dyDescent="0.2">
      <c r="B517" s="6" t="s">
        <v>221</v>
      </c>
      <c r="C517" s="9" t="s">
        <v>31</v>
      </c>
      <c r="D517" s="22">
        <v>42855</v>
      </c>
      <c r="E517" s="9">
        <v>0</v>
      </c>
      <c r="F517" s="9">
        <v>0</v>
      </c>
      <c r="G517" s="9">
        <v>1</v>
      </c>
      <c r="H517" s="9">
        <v>0</v>
      </c>
      <c r="I517" s="9">
        <v>1</v>
      </c>
      <c r="J517" s="9">
        <v>0</v>
      </c>
      <c r="K517" s="55"/>
      <c r="L517" s="24"/>
    </row>
    <row r="518" spans="2:12" x14ac:dyDescent="0.2">
      <c r="B518" s="6" t="s">
        <v>445</v>
      </c>
      <c r="C518" s="9" t="s">
        <v>20</v>
      </c>
      <c r="D518" s="22">
        <v>42850</v>
      </c>
      <c r="E518" s="9">
        <v>0</v>
      </c>
      <c r="F518" s="9">
        <v>0</v>
      </c>
      <c r="G518" s="9">
        <v>1</v>
      </c>
      <c r="H518" s="9">
        <v>0</v>
      </c>
      <c r="I518" s="9">
        <v>1</v>
      </c>
      <c r="J518" s="9">
        <v>0</v>
      </c>
      <c r="K518" s="55"/>
      <c r="L518" s="24"/>
    </row>
    <row r="519" spans="2:12" x14ac:dyDescent="0.2">
      <c r="B519" s="6" t="s">
        <v>60</v>
      </c>
      <c r="C519" s="9" t="s">
        <v>20</v>
      </c>
      <c r="D519" s="22">
        <v>42856</v>
      </c>
      <c r="E519" s="9">
        <v>0</v>
      </c>
      <c r="F519" s="9">
        <v>0</v>
      </c>
      <c r="G519" s="9">
        <v>1</v>
      </c>
      <c r="H519" s="9">
        <v>0</v>
      </c>
      <c r="I519" s="9">
        <v>1</v>
      </c>
      <c r="J519" s="9">
        <v>0</v>
      </c>
      <c r="K519" s="55"/>
      <c r="L519" s="24"/>
    </row>
    <row r="520" spans="2:12" x14ac:dyDescent="0.2">
      <c r="B520" s="6" t="s">
        <v>64</v>
      </c>
      <c r="C520" s="9" t="s">
        <v>20</v>
      </c>
      <c r="D520" s="22">
        <v>42872</v>
      </c>
      <c r="E520" s="9">
        <v>0</v>
      </c>
      <c r="F520" s="9">
        <v>0</v>
      </c>
      <c r="G520" s="9">
        <v>1</v>
      </c>
      <c r="H520" s="9">
        <v>0</v>
      </c>
      <c r="I520" s="9">
        <v>1</v>
      </c>
      <c r="J520" s="9">
        <v>0</v>
      </c>
      <c r="K520" s="55"/>
      <c r="L520" s="24"/>
    </row>
    <row r="521" spans="2:12" x14ac:dyDescent="0.2">
      <c r="B521" s="6" t="s">
        <v>591</v>
      </c>
      <c r="C521" s="9" t="s">
        <v>31</v>
      </c>
      <c r="D521" s="22">
        <v>42916</v>
      </c>
      <c r="E521" s="9">
        <v>0</v>
      </c>
      <c r="F521" s="9">
        <v>0</v>
      </c>
      <c r="G521" s="9">
        <v>1</v>
      </c>
      <c r="H521" s="9">
        <v>0</v>
      </c>
      <c r="I521" s="9">
        <v>1</v>
      </c>
      <c r="J521" s="9">
        <v>0</v>
      </c>
      <c r="K521" s="55"/>
      <c r="L521" s="24"/>
    </row>
    <row r="522" spans="2:12" x14ac:dyDescent="0.2">
      <c r="B522" s="6" t="s">
        <v>775</v>
      </c>
      <c r="C522" s="9" t="s">
        <v>20</v>
      </c>
      <c r="D522" s="22">
        <v>42899</v>
      </c>
      <c r="E522" s="9">
        <v>0</v>
      </c>
      <c r="F522" s="9">
        <v>0</v>
      </c>
      <c r="G522" s="9">
        <v>1</v>
      </c>
      <c r="H522" s="9">
        <v>0</v>
      </c>
      <c r="I522" s="9">
        <v>1</v>
      </c>
      <c r="J522" s="9">
        <v>0</v>
      </c>
      <c r="K522" s="55"/>
      <c r="L522" s="24"/>
    </row>
    <row r="523" spans="2:12" x14ac:dyDescent="0.2">
      <c r="B523" s="6" t="s">
        <v>448</v>
      </c>
      <c r="C523" s="9" t="s">
        <v>31</v>
      </c>
      <c r="D523" s="22">
        <v>42841</v>
      </c>
      <c r="E523" s="9">
        <v>0</v>
      </c>
      <c r="F523" s="9">
        <v>0</v>
      </c>
      <c r="G523" s="9">
        <v>1</v>
      </c>
      <c r="H523" s="9">
        <v>0</v>
      </c>
      <c r="I523" s="9">
        <v>1</v>
      </c>
      <c r="J523" s="9">
        <v>0</v>
      </c>
      <c r="K523" s="55"/>
      <c r="L523" s="24"/>
    </row>
    <row r="524" spans="2:12" x14ac:dyDescent="0.2">
      <c r="B524" s="6" t="s">
        <v>569</v>
      </c>
      <c r="C524" s="9" t="s">
        <v>20</v>
      </c>
      <c r="D524" s="22">
        <v>42857</v>
      </c>
      <c r="E524" s="9">
        <v>0</v>
      </c>
      <c r="F524" s="9">
        <v>0</v>
      </c>
      <c r="G524" s="9">
        <v>1</v>
      </c>
      <c r="H524" s="9">
        <v>0</v>
      </c>
      <c r="I524" s="9">
        <v>1</v>
      </c>
      <c r="J524" s="9">
        <v>0</v>
      </c>
      <c r="K524" s="55"/>
      <c r="L524" s="24"/>
    </row>
    <row r="525" spans="2:12" x14ac:dyDescent="0.2">
      <c r="B525" s="6" t="s">
        <v>127</v>
      </c>
      <c r="C525" s="9" t="s">
        <v>20</v>
      </c>
      <c r="D525" s="22">
        <v>42905</v>
      </c>
      <c r="E525" s="9">
        <v>0</v>
      </c>
      <c r="F525" s="9">
        <v>0</v>
      </c>
      <c r="G525" s="9">
        <v>1</v>
      </c>
      <c r="H525" s="9">
        <v>0</v>
      </c>
      <c r="I525" s="9">
        <v>1</v>
      </c>
      <c r="J525" s="9">
        <v>0</v>
      </c>
      <c r="K525" s="55"/>
      <c r="L525" s="24"/>
    </row>
    <row r="526" spans="2:12" x14ac:dyDescent="0.2">
      <c r="B526" s="6" t="s">
        <v>198</v>
      </c>
      <c r="C526" s="9" t="s">
        <v>20</v>
      </c>
      <c r="D526" s="22">
        <v>42848</v>
      </c>
      <c r="E526" s="9">
        <v>0</v>
      </c>
      <c r="F526" s="9">
        <v>0</v>
      </c>
      <c r="G526" s="9">
        <v>1</v>
      </c>
      <c r="H526" s="9">
        <v>0</v>
      </c>
      <c r="I526" s="9">
        <v>1</v>
      </c>
      <c r="J526" s="9">
        <v>0</v>
      </c>
      <c r="K526" s="55"/>
      <c r="L526" s="24"/>
    </row>
    <row r="527" spans="2:12" x14ac:dyDescent="0.2">
      <c r="B527" s="6" t="s">
        <v>176</v>
      </c>
      <c r="C527" s="9" t="s">
        <v>31</v>
      </c>
      <c r="D527" s="22">
        <v>42893</v>
      </c>
      <c r="E527" s="9">
        <v>0</v>
      </c>
      <c r="F527" s="9">
        <v>0</v>
      </c>
      <c r="G527" s="9">
        <v>1</v>
      </c>
      <c r="H527" s="9">
        <v>0</v>
      </c>
      <c r="I527" s="9">
        <v>1</v>
      </c>
      <c r="J527" s="9">
        <v>0</v>
      </c>
      <c r="K527" s="55"/>
      <c r="L527" s="24"/>
    </row>
    <row r="528" spans="2:12" x14ac:dyDescent="0.2">
      <c r="B528" s="6" t="s">
        <v>211</v>
      </c>
      <c r="C528" s="9" t="s">
        <v>20</v>
      </c>
      <c r="D528" s="22">
        <v>42828</v>
      </c>
      <c r="E528" s="9">
        <v>0</v>
      </c>
      <c r="F528" s="9">
        <v>0</v>
      </c>
      <c r="G528" s="9">
        <v>1</v>
      </c>
      <c r="H528" s="9">
        <v>0</v>
      </c>
      <c r="I528" s="9">
        <v>1</v>
      </c>
      <c r="J528" s="9">
        <v>0</v>
      </c>
      <c r="K528" s="55"/>
      <c r="L528" s="24"/>
    </row>
    <row r="529" spans="2:12" x14ac:dyDescent="0.2">
      <c r="B529" s="6" t="s">
        <v>550</v>
      </c>
      <c r="C529" s="9" t="s">
        <v>20</v>
      </c>
      <c r="D529" s="22">
        <v>42887</v>
      </c>
      <c r="E529" s="9">
        <v>0</v>
      </c>
      <c r="F529" s="9">
        <v>0</v>
      </c>
      <c r="G529" s="9">
        <v>1</v>
      </c>
      <c r="H529" s="9">
        <v>0</v>
      </c>
      <c r="I529" s="9">
        <v>1</v>
      </c>
      <c r="J529" s="9">
        <v>0</v>
      </c>
      <c r="K529" s="55"/>
      <c r="L529" s="24"/>
    </row>
    <row r="530" spans="2:12" x14ac:dyDescent="0.2">
      <c r="B530" s="6" t="s">
        <v>86</v>
      </c>
      <c r="C530" s="9" t="s">
        <v>31</v>
      </c>
      <c r="D530" s="22">
        <v>42853</v>
      </c>
      <c r="E530" s="9">
        <v>0</v>
      </c>
      <c r="F530" s="9">
        <v>0</v>
      </c>
      <c r="G530" s="9">
        <v>1</v>
      </c>
      <c r="H530" s="9">
        <v>0</v>
      </c>
      <c r="I530" s="9">
        <v>1</v>
      </c>
      <c r="J530" s="9">
        <v>0</v>
      </c>
      <c r="K530" s="55"/>
      <c r="L530" s="24"/>
    </row>
    <row r="531" spans="2:12" x14ac:dyDescent="0.2">
      <c r="B531" s="6" t="s">
        <v>232</v>
      </c>
      <c r="C531" s="9" t="s">
        <v>31</v>
      </c>
      <c r="D531" s="22">
        <v>42864</v>
      </c>
      <c r="E531" s="9">
        <v>0</v>
      </c>
      <c r="F531" s="9">
        <v>0</v>
      </c>
      <c r="G531" s="9">
        <v>1</v>
      </c>
      <c r="H531" s="9">
        <v>0</v>
      </c>
      <c r="I531" s="9">
        <v>1</v>
      </c>
      <c r="J531" s="9">
        <v>0</v>
      </c>
      <c r="K531" s="55"/>
      <c r="L531" s="24"/>
    </row>
    <row r="532" spans="2:12" x14ac:dyDescent="0.2">
      <c r="B532" s="6" t="s">
        <v>691</v>
      </c>
      <c r="C532" s="9" t="s">
        <v>20</v>
      </c>
      <c r="D532" s="22">
        <v>42845</v>
      </c>
      <c r="E532" s="9">
        <v>0</v>
      </c>
      <c r="F532" s="9">
        <v>0</v>
      </c>
      <c r="G532" s="9">
        <v>1</v>
      </c>
      <c r="H532" s="9">
        <v>0</v>
      </c>
      <c r="I532" s="9">
        <v>1</v>
      </c>
      <c r="J532" s="9">
        <v>0</v>
      </c>
      <c r="K532" s="55"/>
      <c r="L532" s="24"/>
    </row>
    <row r="533" spans="2:12" x14ac:dyDescent="0.2">
      <c r="B533" s="6" t="s">
        <v>399</v>
      </c>
      <c r="C533" s="9" t="s">
        <v>31</v>
      </c>
      <c r="D533" s="22">
        <v>42828</v>
      </c>
      <c r="E533" s="9">
        <v>0</v>
      </c>
      <c r="F533" s="9">
        <v>0</v>
      </c>
      <c r="G533" s="9">
        <v>1</v>
      </c>
      <c r="H533" s="9">
        <v>0</v>
      </c>
      <c r="I533" s="9">
        <v>1</v>
      </c>
      <c r="J533" s="9">
        <v>0</v>
      </c>
      <c r="K533" s="55"/>
      <c r="L533" s="24"/>
    </row>
    <row r="534" spans="2:12" x14ac:dyDescent="0.2">
      <c r="B534" s="6" t="s">
        <v>245</v>
      </c>
      <c r="C534" s="9" t="s">
        <v>20</v>
      </c>
      <c r="D534" s="22">
        <v>42860</v>
      </c>
      <c r="E534" s="9">
        <v>0</v>
      </c>
      <c r="F534" s="9">
        <v>0</v>
      </c>
      <c r="G534" s="9">
        <v>1</v>
      </c>
      <c r="H534" s="9">
        <v>0</v>
      </c>
      <c r="I534" s="9">
        <v>1</v>
      </c>
      <c r="J534" s="9">
        <v>0</v>
      </c>
      <c r="K534" s="55"/>
      <c r="L534" s="24"/>
    </row>
    <row r="535" spans="2:12" x14ac:dyDescent="0.2">
      <c r="B535" s="6" t="s">
        <v>673</v>
      </c>
      <c r="C535" s="9" t="s">
        <v>20</v>
      </c>
      <c r="D535" s="22">
        <v>42910</v>
      </c>
      <c r="E535" s="9">
        <v>0</v>
      </c>
      <c r="F535" s="9">
        <v>0</v>
      </c>
      <c r="G535" s="9">
        <v>1</v>
      </c>
      <c r="H535" s="9">
        <v>0</v>
      </c>
      <c r="I535" s="9">
        <v>1</v>
      </c>
      <c r="J535" s="9">
        <v>0</v>
      </c>
      <c r="K535" s="55"/>
      <c r="L535" s="24"/>
    </row>
    <row r="536" spans="2:12" x14ac:dyDescent="0.2">
      <c r="B536" s="6" t="s">
        <v>238</v>
      </c>
      <c r="C536" s="9" t="s">
        <v>20</v>
      </c>
      <c r="D536" s="22">
        <v>42855</v>
      </c>
      <c r="E536" s="9">
        <v>0</v>
      </c>
      <c r="F536" s="9">
        <v>0</v>
      </c>
      <c r="G536" s="9">
        <v>1</v>
      </c>
      <c r="H536" s="9">
        <v>0</v>
      </c>
      <c r="I536" s="9">
        <v>1</v>
      </c>
      <c r="J536" s="9">
        <v>0</v>
      </c>
      <c r="K536" s="55"/>
      <c r="L536" s="24"/>
    </row>
    <row r="537" spans="2:12" x14ac:dyDescent="0.2">
      <c r="B537" s="6" t="s">
        <v>309</v>
      </c>
      <c r="C537" s="9" t="s">
        <v>31</v>
      </c>
      <c r="D537" s="22">
        <v>42900</v>
      </c>
      <c r="E537" s="9">
        <v>0</v>
      </c>
      <c r="F537" s="9">
        <v>0</v>
      </c>
      <c r="G537" s="9">
        <v>1</v>
      </c>
      <c r="H537" s="9">
        <v>0</v>
      </c>
      <c r="I537" s="9">
        <v>1</v>
      </c>
      <c r="J537" s="9">
        <v>0</v>
      </c>
      <c r="K537" s="55"/>
      <c r="L537" s="24"/>
    </row>
    <row r="538" spans="2:12" x14ac:dyDescent="0.2">
      <c r="B538" s="6" t="s">
        <v>632</v>
      </c>
      <c r="C538" s="9" t="s">
        <v>31</v>
      </c>
      <c r="D538" s="22">
        <v>42906</v>
      </c>
      <c r="E538" s="9">
        <v>0</v>
      </c>
      <c r="F538" s="9">
        <v>0</v>
      </c>
      <c r="G538" s="9">
        <v>1</v>
      </c>
      <c r="H538" s="9">
        <v>0</v>
      </c>
      <c r="I538" s="9">
        <v>1</v>
      </c>
      <c r="J538" s="9">
        <v>0</v>
      </c>
      <c r="K538" s="55"/>
      <c r="L538" s="24"/>
    </row>
    <row r="539" spans="2:12" x14ac:dyDescent="0.2">
      <c r="B539" s="6" t="s">
        <v>512</v>
      </c>
      <c r="C539" s="9" t="s">
        <v>20</v>
      </c>
      <c r="D539" s="22">
        <v>42856</v>
      </c>
      <c r="E539" s="9">
        <v>0</v>
      </c>
      <c r="F539" s="9">
        <v>0</v>
      </c>
      <c r="G539" s="9">
        <v>1</v>
      </c>
      <c r="H539" s="9">
        <v>0</v>
      </c>
      <c r="I539" s="9">
        <v>1</v>
      </c>
      <c r="J539" s="9">
        <v>0</v>
      </c>
      <c r="K539" s="55"/>
      <c r="L539" s="24"/>
    </row>
    <row r="540" spans="2:12" x14ac:dyDescent="0.2">
      <c r="B540" s="6" t="s">
        <v>568</v>
      </c>
      <c r="C540" s="9" t="s">
        <v>20</v>
      </c>
      <c r="D540" s="22">
        <v>42870</v>
      </c>
      <c r="E540" s="9">
        <v>0</v>
      </c>
      <c r="F540" s="9">
        <v>0</v>
      </c>
      <c r="G540" s="9">
        <v>1</v>
      </c>
      <c r="H540" s="9">
        <v>0</v>
      </c>
      <c r="I540" s="9">
        <v>1</v>
      </c>
      <c r="J540" s="9">
        <v>0</v>
      </c>
      <c r="K540" s="55"/>
      <c r="L540" s="24"/>
    </row>
    <row r="541" spans="2:12" x14ac:dyDescent="0.2">
      <c r="B541" s="6" t="s">
        <v>368</v>
      </c>
      <c r="C541" s="9" t="s">
        <v>20</v>
      </c>
      <c r="D541" s="22">
        <v>42858</v>
      </c>
      <c r="E541" s="9">
        <v>0</v>
      </c>
      <c r="F541" s="9">
        <v>0</v>
      </c>
      <c r="G541" s="9">
        <v>1</v>
      </c>
      <c r="H541" s="9">
        <v>0</v>
      </c>
      <c r="I541" s="9">
        <v>1</v>
      </c>
      <c r="J541" s="9">
        <v>0</v>
      </c>
      <c r="K541" s="55"/>
      <c r="L541" s="24"/>
    </row>
    <row r="542" spans="2:12" x14ac:dyDescent="0.2">
      <c r="B542" s="6" t="s">
        <v>171</v>
      </c>
      <c r="C542" s="9" t="s">
        <v>31</v>
      </c>
      <c r="D542" s="22">
        <v>42914</v>
      </c>
      <c r="E542" s="9">
        <v>0</v>
      </c>
      <c r="F542" s="9">
        <v>0</v>
      </c>
      <c r="G542" s="9">
        <v>1</v>
      </c>
      <c r="H542" s="9">
        <v>0</v>
      </c>
      <c r="I542" s="9">
        <v>1</v>
      </c>
      <c r="J542" s="9">
        <v>0</v>
      </c>
      <c r="K542" s="55"/>
      <c r="L542" s="24"/>
    </row>
    <row r="543" spans="2:12" x14ac:dyDescent="0.2">
      <c r="B543" s="6" t="s">
        <v>486</v>
      </c>
      <c r="C543" s="9" t="s">
        <v>31</v>
      </c>
      <c r="D543" s="22">
        <v>42843</v>
      </c>
      <c r="E543" s="9">
        <v>0</v>
      </c>
      <c r="F543" s="9">
        <v>0</v>
      </c>
      <c r="G543" s="9">
        <v>1</v>
      </c>
      <c r="H543" s="9">
        <v>0</v>
      </c>
      <c r="I543" s="9">
        <v>1</v>
      </c>
      <c r="J543" s="9">
        <v>0</v>
      </c>
      <c r="K543" s="55"/>
      <c r="L543" s="24"/>
    </row>
    <row r="544" spans="2:12" x14ac:dyDescent="0.2">
      <c r="B544" s="6" t="s">
        <v>740</v>
      </c>
      <c r="C544" s="9" t="s">
        <v>31</v>
      </c>
      <c r="D544" s="22">
        <v>42895</v>
      </c>
      <c r="E544" s="9">
        <v>0</v>
      </c>
      <c r="F544" s="9">
        <v>0</v>
      </c>
      <c r="G544" s="9">
        <v>1</v>
      </c>
      <c r="H544" s="9">
        <v>0</v>
      </c>
      <c r="I544" s="9">
        <v>1</v>
      </c>
      <c r="J544" s="9">
        <v>0</v>
      </c>
      <c r="K544" s="55"/>
      <c r="L544" s="24"/>
    </row>
    <row r="545" spans="2:12" x14ac:dyDescent="0.2">
      <c r="B545" s="6" t="s">
        <v>223</v>
      </c>
      <c r="C545" s="9" t="s">
        <v>31</v>
      </c>
      <c r="D545" s="22">
        <v>42827</v>
      </c>
      <c r="E545" s="9">
        <v>0</v>
      </c>
      <c r="F545" s="9">
        <v>0</v>
      </c>
      <c r="G545" s="9">
        <v>1</v>
      </c>
      <c r="H545" s="9">
        <v>0</v>
      </c>
      <c r="I545" s="9">
        <v>1</v>
      </c>
      <c r="J545" s="9">
        <v>0</v>
      </c>
      <c r="K545" s="55"/>
      <c r="L545" s="24"/>
    </row>
    <row r="546" spans="2:12" x14ac:dyDescent="0.2">
      <c r="B546" s="6" t="s">
        <v>385</v>
      </c>
      <c r="C546" s="9" t="s">
        <v>20</v>
      </c>
      <c r="D546" s="22">
        <v>42871</v>
      </c>
      <c r="E546" s="9">
        <v>0</v>
      </c>
      <c r="F546" s="9">
        <v>0</v>
      </c>
      <c r="G546" s="9">
        <v>1</v>
      </c>
      <c r="H546" s="9">
        <v>0</v>
      </c>
      <c r="I546" s="9">
        <v>1</v>
      </c>
      <c r="J546" s="9">
        <v>0</v>
      </c>
      <c r="K546" s="55"/>
      <c r="L546" s="24"/>
    </row>
    <row r="547" spans="2:12" x14ac:dyDescent="0.2">
      <c r="B547" s="6" t="s">
        <v>407</v>
      </c>
      <c r="C547" s="9" t="s">
        <v>20</v>
      </c>
      <c r="D547" s="22">
        <v>42902</v>
      </c>
      <c r="E547" s="9">
        <v>0</v>
      </c>
      <c r="F547" s="9">
        <v>0</v>
      </c>
      <c r="G547" s="9">
        <v>1</v>
      </c>
      <c r="H547" s="9">
        <v>0</v>
      </c>
      <c r="I547" s="9">
        <v>1</v>
      </c>
      <c r="J547" s="9">
        <v>0</v>
      </c>
      <c r="K547" s="55"/>
      <c r="L547" s="24"/>
    </row>
    <row r="548" spans="2:12" x14ac:dyDescent="0.2">
      <c r="B548" s="6" t="s">
        <v>726</v>
      </c>
      <c r="C548" s="9" t="s">
        <v>20</v>
      </c>
      <c r="D548" s="22">
        <v>42848</v>
      </c>
      <c r="E548" s="9">
        <v>0</v>
      </c>
      <c r="F548" s="9">
        <v>0</v>
      </c>
      <c r="G548" s="9">
        <v>1</v>
      </c>
      <c r="H548" s="9">
        <v>0</v>
      </c>
      <c r="I548" s="9">
        <v>1</v>
      </c>
      <c r="J548" s="9">
        <v>0</v>
      </c>
      <c r="K548" s="55"/>
      <c r="L548" s="24"/>
    </row>
    <row r="549" spans="2:12" x14ac:dyDescent="0.2">
      <c r="B549" s="6" t="s">
        <v>603</v>
      </c>
      <c r="C549" s="9" t="s">
        <v>31</v>
      </c>
      <c r="D549" s="22">
        <v>42852</v>
      </c>
      <c r="E549" s="9">
        <v>0</v>
      </c>
      <c r="F549" s="9">
        <v>0</v>
      </c>
      <c r="G549" s="9">
        <v>1</v>
      </c>
      <c r="H549" s="9">
        <v>0</v>
      </c>
      <c r="I549" s="9">
        <v>1</v>
      </c>
      <c r="J549" s="9">
        <v>0</v>
      </c>
      <c r="K549" s="55"/>
      <c r="L549" s="24"/>
    </row>
    <row r="550" spans="2:12" x14ac:dyDescent="0.2">
      <c r="B550" s="6" t="s">
        <v>327</v>
      </c>
      <c r="C550" s="9" t="s">
        <v>20</v>
      </c>
      <c r="D550" s="22">
        <v>42896</v>
      </c>
      <c r="E550" s="9">
        <v>0</v>
      </c>
      <c r="F550" s="9">
        <v>0</v>
      </c>
      <c r="G550" s="9">
        <v>1</v>
      </c>
      <c r="H550" s="9">
        <v>0</v>
      </c>
      <c r="I550" s="9">
        <v>1</v>
      </c>
      <c r="J550" s="9">
        <v>0</v>
      </c>
      <c r="K550" s="55"/>
      <c r="L550" s="24"/>
    </row>
    <row r="551" spans="2:12" x14ac:dyDescent="0.2">
      <c r="B551" s="6" t="s">
        <v>270</v>
      </c>
      <c r="C551" s="9" t="s">
        <v>20</v>
      </c>
      <c r="D551" s="22">
        <v>42871</v>
      </c>
      <c r="E551" s="9">
        <v>0</v>
      </c>
      <c r="F551" s="9">
        <v>0</v>
      </c>
      <c r="G551" s="9">
        <v>1</v>
      </c>
      <c r="H551" s="9">
        <v>0</v>
      </c>
      <c r="I551" s="9">
        <v>1</v>
      </c>
      <c r="J551" s="9">
        <v>0</v>
      </c>
      <c r="K551" s="55"/>
      <c r="L551" s="24"/>
    </row>
    <row r="552" spans="2:12" x14ac:dyDescent="0.2">
      <c r="B552" s="6" t="s">
        <v>544</v>
      </c>
      <c r="C552" s="9" t="s">
        <v>20</v>
      </c>
      <c r="D552" s="22">
        <v>42830</v>
      </c>
      <c r="E552" s="9">
        <v>0</v>
      </c>
      <c r="F552" s="9">
        <v>0</v>
      </c>
      <c r="G552" s="9">
        <v>1</v>
      </c>
      <c r="H552" s="9">
        <v>0</v>
      </c>
      <c r="I552" s="9">
        <v>1</v>
      </c>
      <c r="J552" s="9">
        <v>0</v>
      </c>
      <c r="K552" s="55"/>
      <c r="L552" s="24"/>
    </row>
    <row r="553" spans="2:12" x14ac:dyDescent="0.2">
      <c r="B553" s="6" t="s">
        <v>310</v>
      </c>
      <c r="C553" s="9" t="s">
        <v>20</v>
      </c>
      <c r="D553" s="22">
        <v>42902</v>
      </c>
      <c r="E553" s="9">
        <v>0</v>
      </c>
      <c r="F553" s="9">
        <v>0</v>
      </c>
      <c r="G553" s="9">
        <v>1</v>
      </c>
      <c r="H553" s="9">
        <v>0</v>
      </c>
      <c r="I553" s="9">
        <v>1</v>
      </c>
      <c r="J553" s="9">
        <v>0</v>
      </c>
      <c r="K553" s="55"/>
      <c r="L553" s="24"/>
    </row>
    <row r="554" spans="2:12" x14ac:dyDescent="0.2">
      <c r="B554" s="6" t="s">
        <v>355</v>
      </c>
      <c r="C554" s="9" t="s">
        <v>31</v>
      </c>
      <c r="D554" s="22">
        <v>42874</v>
      </c>
      <c r="E554" s="9">
        <v>0</v>
      </c>
      <c r="F554" s="9">
        <v>0</v>
      </c>
      <c r="G554" s="9">
        <v>1</v>
      </c>
      <c r="H554" s="9">
        <v>0</v>
      </c>
      <c r="I554" s="9">
        <v>1</v>
      </c>
      <c r="J554" s="9">
        <v>0</v>
      </c>
      <c r="K554" s="55"/>
      <c r="L554" s="24"/>
    </row>
    <row r="555" spans="2:12" x14ac:dyDescent="0.2">
      <c r="B555" s="6" t="s">
        <v>583</v>
      </c>
      <c r="C555" s="9" t="s">
        <v>31</v>
      </c>
      <c r="D555" s="22">
        <v>42870</v>
      </c>
      <c r="E555" s="9">
        <v>0</v>
      </c>
      <c r="F555" s="9">
        <v>0</v>
      </c>
      <c r="G555" s="9">
        <v>1</v>
      </c>
      <c r="H555" s="9">
        <v>0</v>
      </c>
      <c r="I555" s="9">
        <v>1</v>
      </c>
      <c r="J555" s="9">
        <v>0</v>
      </c>
      <c r="K555" s="55"/>
      <c r="L555" s="24"/>
    </row>
    <row r="556" spans="2:12" x14ac:dyDescent="0.2">
      <c r="B556" s="6" t="s">
        <v>124</v>
      </c>
      <c r="C556" s="9" t="s">
        <v>31</v>
      </c>
      <c r="D556" s="22">
        <v>42904</v>
      </c>
      <c r="E556" s="9">
        <v>0</v>
      </c>
      <c r="F556" s="9">
        <v>0</v>
      </c>
      <c r="G556" s="9">
        <v>1</v>
      </c>
      <c r="H556" s="9">
        <v>0</v>
      </c>
      <c r="I556" s="9">
        <v>1</v>
      </c>
      <c r="J556" s="9">
        <v>0</v>
      </c>
      <c r="K556" s="55"/>
      <c r="L556" s="24"/>
    </row>
    <row r="557" spans="2:12" x14ac:dyDescent="0.2">
      <c r="B557" s="6" t="s">
        <v>552</v>
      </c>
      <c r="C557" s="9" t="s">
        <v>20</v>
      </c>
      <c r="D557" s="22">
        <v>42849</v>
      </c>
      <c r="E557" s="9">
        <v>0</v>
      </c>
      <c r="F557" s="9">
        <v>0</v>
      </c>
      <c r="G557" s="9">
        <v>1</v>
      </c>
      <c r="H557" s="9">
        <v>0</v>
      </c>
      <c r="I557" s="9">
        <v>1</v>
      </c>
      <c r="J557" s="9">
        <v>0</v>
      </c>
      <c r="K557" s="55"/>
      <c r="L557" s="24"/>
    </row>
    <row r="558" spans="2:12" x14ac:dyDescent="0.2">
      <c r="B558" s="6" t="s">
        <v>509</v>
      </c>
      <c r="C558" s="9" t="s">
        <v>20</v>
      </c>
      <c r="D558" s="22">
        <v>42853</v>
      </c>
      <c r="E558" s="9">
        <v>0</v>
      </c>
      <c r="F558" s="9">
        <v>0</v>
      </c>
      <c r="G558" s="9">
        <v>1</v>
      </c>
      <c r="H558" s="9">
        <v>0</v>
      </c>
      <c r="I558" s="9">
        <v>1</v>
      </c>
      <c r="J558" s="9">
        <v>0</v>
      </c>
      <c r="K558" s="55"/>
      <c r="L558" s="24"/>
    </row>
    <row r="559" spans="2:12" x14ac:dyDescent="0.2">
      <c r="B559" s="6" t="s">
        <v>177</v>
      </c>
      <c r="C559" s="9" t="s">
        <v>20</v>
      </c>
      <c r="D559" s="22">
        <v>42915</v>
      </c>
      <c r="E559" s="9">
        <v>0</v>
      </c>
      <c r="F559" s="9">
        <v>0</v>
      </c>
      <c r="G559" s="9">
        <v>1</v>
      </c>
      <c r="H559" s="9">
        <v>0</v>
      </c>
      <c r="I559" s="9">
        <v>1</v>
      </c>
      <c r="J559" s="9">
        <v>0</v>
      </c>
      <c r="K559" s="55"/>
      <c r="L559" s="24"/>
    </row>
    <row r="560" spans="2:12" x14ac:dyDescent="0.2">
      <c r="B560" s="6" t="s">
        <v>252</v>
      </c>
      <c r="C560" s="9" t="s">
        <v>20</v>
      </c>
      <c r="D560" s="22">
        <v>42853</v>
      </c>
      <c r="E560" s="9">
        <v>0</v>
      </c>
      <c r="F560" s="9">
        <v>0</v>
      </c>
      <c r="G560" s="9">
        <v>1</v>
      </c>
      <c r="H560" s="9">
        <v>0</v>
      </c>
      <c r="I560" s="9">
        <v>1</v>
      </c>
      <c r="J560" s="9">
        <v>0</v>
      </c>
      <c r="K560" s="55"/>
      <c r="L560" s="24"/>
    </row>
    <row r="561" spans="2:12" x14ac:dyDescent="0.2">
      <c r="B561" s="6" t="s">
        <v>732</v>
      </c>
      <c r="C561" s="9" t="s">
        <v>20</v>
      </c>
      <c r="D561" s="22">
        <v>42831</v>
      </c>
      <c r="E561" s="9">
        <v>0</v>
      </c>
      <c r="F561" s="9">
        <v>0</v>
      </c>
      <c r="G561" s="9">
        <v>1</v>
      </c>
      <c r="H561" s="9">
        <v>0</v>
      </c>
      <c r="I561" s="9">
        <v>1</v>
      </c>
      <c r="J561" s="9">
        <v>0</v>
      </c>
      <c r="K561" s="55"/>
      <c r="L561" s="24"/>
    </row>
    <row r="562" spans="2:12" x14ac:dyDescent="0.2">
      <c r="B562" s="6" t="s">
        <v>362</v>
      </c>
      <c r="C562" s="9" t="s">
        <v>20</v>
      </c>
      <c r="D562" s="22">
        <v>42900</v>
      </c>
      <c r="E562" s="9">
        <v>0</v>
      </c>
      <c r="F562" s="9">
        <v>0</v>
      </c>
      <c r="G562" s="9">
        <v>1</v>
      </c>
      <c r="H562" s="9">
        <v>0</v>
      </c>
      <c r="I562" s="9">
        <v>1</v>
      </c>
      <c r="J562" s="9">
        <v>0</v>
      </c>
      <c r="K562" s="55"/>
      <c r="L562" s="24"/>
    </row>
    <row r="563" spans="2:12" x14ac:dyDescent="0.2">
      <c r="B563" s="6" t="s">
        <v>421</v>
      </c>
      <c r="C563" s="9" t="s">
        <v>20</v>
      </c>
      <c r="D563" s="22">
        <v>42868</v>
      </c>
      <c r="E563" s="9">
        <v>0</v>
      </c>
      <c r="F563" s="9">
        <v>0</v>
      </c>
      <c r="G563" s="9">
        <v>1</v>
      </c>
      <c r="H563" s="9">
        <v>0</v>
      </c>
      <c r="I563" s="9">
        <v>1</v>
      </c>
      <c r="J563" s="9">
        <v>0</v>
      </c>
      <c r="K563" s="55"/>
      <c r="L563" s="24"/>
    </row>
    <row r="564" spans="2:12" x14ac:dyDescent="0.2">
      <c r="B564" s="6" t="s">
        <v>93</v>
      </c>
      <c r="C564" s="9" t="s">
        <v>31</v>
      </c>
      <c r="D564" s="22">
        <v>42882</v>
      </c>
      <c r="E564" s="9">
        <v>0</v>
      </c>
      <c r="F564" s="9">
        <v>0</v>
      </c>
      <c r="G564" s="9">
        <v>1</v>
      </c>
      <c r="H564" s="9">
        <v>0</v>
      </c>
      <c r="I564" s="9">
        <v>1</v>
      </c>
      <c r="J564" s="9">
        <v>0</v>
      </c>
      <c r="K564" s="55"/>
      <c r="L564" s="24"/>
    </row>
    <row r="565" spans="2:12" x14ac:dyDescent="0.2">
      <c r="B565" s="6" t="s">
        <v>601</v>
      </c>
      <c r="C565" s="9" t="s">
        <v>20</v>
      </c>
      <c r="D565" s="22">
        <v>42857</v>
      </c>
      <c r="E565" s="9">
        <v>0</v>
      </c>
      <c r="F565" s="9">
        <v>0</v>
      </c>
      <c r="G565" s="9">
        <v>1</v>
      </c>
      <c r="H565" s="9">
        <v>0</v>
      </c>
      <c r="I565" s="9">
        <v>1</v>
      </c>
      <c r="J565" s="9">
        <v>0</v>
      </c>
      <c r="K565" s="55"/>
      <c r="L565" s="24"/>
    </row>
    <row r="566" spans="2:12" x14ac:dyDescent="0.2">
      <c r="B566" s="6" t="s">
        <v>773</v>
      </c>
      <c r="C566" s="9" t="s">
        <v>31</v>
      </c>
      <c r="D566" s="22">
        <v>42873</v>
      </c>
      <c r="E566" s="9">
        <v>0</v>
      </c>
      <c r="F566" s="9">
        <v>0</v>
      </c>
      <c r="G566" s="9">
        <v>1</v>
      </c>
      <c r="H566" s="9">
        <v>0</v>
      </c>
      <c r="I566" s="9">
        <v>1</v>
      </c>
      <c r="J566" s="9">
        <v>0</v>
      </c>
      <c r="K566" s="55"/>
      <c r="L566" s="24"/>
    </row>
    <row r="567" spans="2:12" x14ac:dyDescent="0.2">
      <c r="B567" s="6" t="s">
        <v>650</v>
      </c>
      <c r="C567" s="9" t="s">
        <v>20</v>
      </c>
      <c r="D567" s="22">
        <v>42827</v>
      </c>
      <c r="E567" s="9">
        <v>0</v>
      </c>
      <c r="F567" s="9">
        <v>0</v>
      </c>
      <c r="G567" s="9">
        <v>1</v>
      </c>
      <c r="H567" s="9">
        <v>0</v>
      </c>
      <c r="I567" s="9">
        <v>1</v>
      </c>
      <c r="J567" s="9">
        <v>0</v>
      </c>
      <c r="K567" s="55"/>
      <c r="L567" s="24"/>
    </row>
    <row r="568" spans="2:12" x14ac:dyDescent="0.2">
      <c r="B568" s="6" t="s">
        <v>744</v>
      </c>
      <c r="C568" s="9" t="s">
        <v>31</v>
      </c>
      <c r="D568" s="22">
        <v>42857</v>
      </c>
      <c r="E568" s="9">
        <v>0</v>
      </c>
      <c r="F568" s="9">
        <v>0</v>
      </c>
      <c r="G568" s="9">
        <v>1</v>
      </c>
      <c r="H568" s="9">
        <v>0</v>
      </c>
      <c r="I568" s="9">
        <v>1</v>
      </c>
      <c r="J568" s="9">
        <v>0</v>
      </c>
      <c r="K568" s="55"/>
      <c r="L568" s="24"/>
    </row>
    <row r="569" spans="2:12" x14ac:dyDescent="0.2">
      <c r="B569" s="6" t="s">
        <v>566</v>
      </c>
      <c r="C569" s="9" t="s">
        <v>31</v>
      </c>
      <c r="D569" s="22">
        <v>42855</v>
      </c>
      <c r="E569" s="9">
        <v>0</v>
      </c>
      <c r="F569" s="9">
        <v>0</v>
      </c>
      <c r="G569" s="9">
        <v>1</v>
      </c>
      <c r="H569" s="9">
        <v>0</v>
      </c>
      <c r="I569" s="9">
        <v>1</v>
      </c>
      <c r="J569" s="9">
        <v>0</v>
      </c>
      <c r="K569" s="55"/>
      <c r="L569" s="24"/>
    </row>
    <row r="570" spans="2:12" x14ac:dyDescent="0.2">
      <c r="B570" s="6" t="s">
        <v>660</v>
      </c>
      <c r="C570" s="9" t="s">
        <v>20</v>
      </c>
      <c r="D570" s="22">
        <v>42911</v>
      </c>
      <c r="E570" s="9">
        <v>0</v>
      </c>
      <c r="F570" s="9">
        <v>0</v>
      </c>
      <c r="G570" s="9">
        <v>1</v>
      </c>
      <c r="H570" s="9">
        <v>0</v>
      </c>
      <c r="I570" s="9">
        <v>1</v>
      </c>
      <c r="J570" s="9">
        <v>0</v>
      </c>
      <c r="K570" s="55"/>
      <c r="L570" s="24"/>
    </row>
    <row r="571" spans="2:12" x14ac:dyDescent="0.2">
      <c r="B571" s="6" t="s">
        <v>663</v>
      </c>
      <c r="C571" s="9" t="s">
        <v>20</v>
      </c>
      <c r="D571" s="22">
        <v>42847</v>
      </c>
      <c r="E571" s="9">
        <v>0</v>
      </c>
      <c r="F571" s="9">
        <v>0</v>
      </c>
      <c r="G571" s="9">
        <v>1</v>
      </c>
      <c r="H571" s="9">
        <v>0</v>
      </c>
      <c r="I571" s="9">
        <v>1</v>
      </c>
      <c r="J571" s="9">
        <v>0</v>
      </c>
      <c r="K571" s="55"/>
      <c r="L571" s="24"/>
    </row>
    <row r="572" spans="2:12" x14ac:dyDescent="0.2">
      <c r="B572" s="6" t="s">
        <v>476</v>
      </c>
      <c r="C572" s="9" t="s">
        <v>31</v>
      </c>
      <c r="D572" s="22">
        <v>42873</v>
      </c>
      <c r="E572" s="9">
        <v>0</v>
      </c>
      <c r="F572" s="9">
        <v>0</v>
      </c>
      <c r="G572" s="9">
        <v>1</v>
      </c>
      <c r="H572" s="9">
        <v>0</v>
      </c>
      <c r="I572" s="9">
        <v>1</v>
      </c>
      <c r="J572" s="9">
        <v>0</v>
      </c>
      <c r="K572" s="55"/>
      <c r="L572" s="24"/>
    </row>
    <row r="573" spans="2:12" x14ac:dyDescent="0.2">
      <c r="B573" s="6" t="s">
        <v>214</v>
      </c>
      <c r="C573" s="9" t="s">
        <v>20</v>
      </c>
      <c r="D573" s="22">
        <v>42863</v>
      </c>
      <c r="E573" s="9">
        <v>0</v>
      </c>
      <c r="F573" s="9">
        <v>0</v>
      </c>
      <c r="G573" s="9">
        <v>1</v>
      </c>
      <c r="H573" s="9">
        <v>0</v>
      </c>
      <c r="I573" s="9">
        <v>1</v>
      </c>
      <c r="J573" s="9">
        <v>0</v>
      </c>
      <c r="K573" s="55"/>
      <c r="L573" s="24"/>
    </row>
    <row r="574" spans="2:12" x14ac:dyDescent="0.2">
      <c r="B574" s="6" t="s">
        <v>571</v>
      </c>
      <c r="C574" s="9" t="s">
        <v>20</v>
      </c>
      <c r="D574" s="22">
        <v>42873</v>
      </c>
      <c r="E574" s="9">
        <v>0</v>
      </c>
      <c r="F574" s="9">
        <v>0</v>
      </c>
      <c r="G574" s="9">
        <v>1</v>
      </c>
      <c r="H574" s="9">
        <v>0</v>
      </c>
      <c r="I574" s="9">
        <v>1</v>
      </c>
      <c r="J574" s="9">
        <v>0</v>
      </c>
      <c r="K574" s="55"/>
      <c r="L574" s="24"/>
    </row>
    <row r="575" spans="2:12" x14ac:dyDescent="0.2">
      <c r="B575" s="6" t="s">
        <v>343</v>
      </c>
      <c r="C575" s="9" t="s">
        <v>31</v>
      </c>
      <c r="D575" s="22">
        <v>42888</v>
      </c>
      <c r="E575" s="9">
        <v>0</v>
      </c>
      <c r="F575" s="9">
        <v>0</v>
      </c>
      <c r="G575" s="9">
        <v>1</v>
      </c>
      <c r="H575" s="9">
        <v>0</v>
      </c>
      <c r="I575" s="9">
        <v>1</v>
      </c>
      <c r="J575" s="9">
        <v>0</v>
      </c>
      <c r="K575" s="55"/>
      <c r="L575" s="24"/>
    </row>
    <row r="576" spans="2:12" x14ac:dyDescent="0.2">
      <c r="B576" s="6" t="s">
        <v>723</v>
      </c>
      <c r="C576" s="9" t="s">
        <v>31</v>
      </c>
      <c r="D576" s="22">
        <v>42899</v>
      </c>
      <c r="E576" s="9">
        <v>0</v>
      </c>
      <c r="F576" s="9">
        <v>0</v>
      </c>
      <c r="G576" s="9">
        <v>1</v>
      </c>
      <c r="H576" s="9">
        <v>0</v>
      </c>
      <c r="I576" s="9">
        <v>1</v>
      </c>
      <c r="J576" s="9">
        <v>0</v>
      </c>
      <c r="K576" s="55"/>
      <c r="L576" s="24"/>
    </row>
    <row r="577" spans="2:12" x14ac:dyDescent="0.2">
      <c r="B577" s="6" t="s">
        <v>662</v>
      </c>
      <c r="C577" s="9" t="s">
        <v>31</v>
      </c>
      <c r="D577" s="22">
        <v>42892</v>
      </c>
      <c r="E577" s="9">
        <v>0</v>
      </c>
      <c r="F577" s="9">
        <v>0</v>
      </c>
      <c r="G577" s="9">
        <v>1</v>
      </c>
      <c r="H577" s="9">
        <v>0</v>
      </c>
      <c r="I577" s="9">
        <v>1</v>
      </c>
      <c r="J577" s="9">
        <v>0</v>
      </c>
      <c r="K577" s="55"/>
      <c r="L577" s="24"/>
    </row>
    <row r="578" spans="2:12" x14ac:dyDescent="0.2">
      <c r="B578" s="6" t="s">
        <v>194</v>
      </c>
      <c r="C578" s="9" t="s">
        <v>31</v>
      </c>
      <c r="D578" s="22">
        <v>42915</v>
      </c>
      <c r="E578" s="9">
        <v>0</v>
      </c>
      <c r="F578" s="9">
        <v>0</v>
      </c>
      <c r="G578" s="9">
        <v>1</v>
      </c>
      <c r="H578" s="9">
        <v>0</v>
      </c>
      <c r="I578" s="9">
        <v>1</v>
      </c>
      <c r="J578" s="9">
        <v>0</v>
      </c>
      <c r="K578" s="55"/>
      <c r="L578" s="24"/>
    </row>
    <row r="579" spans="2:12" x14ac:dyDescent="0.2">
      <c r="B579" s="6" t="s">
        <v>234</v>
      </c>
      <c r="C579" s="9" t="s">
        <v>20</v>
      </c>
      <c r="D579" s="22">
        <v>42911</v>
      </c>
      <c r="E579" s="9">
        <v>0</v>
      </c>
      <c r="F579" s="9">
        <v>0</v>
      </c>
      <c r="G579" s="9">
        <v>1</v>
      </c>
      <c r="H579" s="9">
        <v>0</v>
      </c>
      <c r="I579" s="9">
        <v>1</v>
      </c>
      <c r="J579" s="9">
        <v>0</v>
      </c>
      <c r="K579" s="55"/>
      <c r="L579" s="24"/>
    </row>
    <row r="580" spans="2:12" x14ac:dyDescent="0.2">
      <c r="B580" s="6" t="s">
        <v>275</v>
      </c>
      <c r="C580" s="9" t="s">
        <v>31</v>
      </c>
      <c r="D580" s="22">
        <v>42859</v>
      </c>
      <c r="E580" s="9">
        <v>0</v>
      </c>
      <c r="F580" s="9">
        <v>0</v>
      </c>
      <c r="G580" s="9">
        <v>1</v>
      </c>
      <c r="H580" s="9">
        <v>0</v>
      </c>
      <c r="I580" s="9">
        <v>1</v>
      </c>
      <c r="J580" s="9">
        <v>0</v>
      </c>
      <c r="K580" s="55"/>
      <c r="L580" s="24"/>
    </row>
    <row r="581" spans="2:12" x14ac:dyDescent="0.2">
      <c r="B581" s="6" t="s">
        <v>596</v>
      </c>
      <c r="C581" s="9" t="s">
        <v>20</v>
      </c>
      <c r="D581" s="22">
        <v>42847</v>
      </c>
      <c r="E581" s="9">
        <v>0</v>
      </c>
      <c r="F581" s="9">
        <v>0</v>
      </c>
      <c r="G581" s="9">
        <v>1</v>
      </c>
      <c r="H581" s="9">
        <v>0</v>
      </c>
      <c r="I581" s="9">
        <v>1</v>
      </c>
      <c r="J581" s="9">
        <v>0</v>
      </c>
      <c r="K581" s="55"/>
      <c r="L581" s="24"/>
    </row>
    <row r="582" spans="2:12" x14ac:dyDescent="0.2">
      <c r="B582" s="6" t="s">
        <v>652</v>
      </c>
      <c r="C582" s="9" t="s">
        <v>31</v>
      </c>
      <c r="D582" s="22">
        <v>42882</v>
      </c>
      <c r="E582" s="9">
        <v>0</v>
      </c>
      <c r="F582" s="9">
        <v>0</v>
      </c>
      <c r="G582" s="9">
        <v>1</v>
      </c>
      <c r="H582" s="9">
        <v>0</v>
      </c>
      <c r="I582" s="9">
        <v>1</v>
      </c>
      <c r="J582" s="9">
        <v>0</v>
      </c>
      <c r="K582" s="55"/>
      <c r="L582" s="24"/>
    </row>
    <row r="583" spans="2:12" x14ac:dyDescent="0.2">
      <c r="B583" s="6" t="s">
        <v>82</v>
      </c>
      <c r="C583" s="9" t="s">
        <v>31</v>
      </c>
      <c r="D583" s="22">
        <v>42888</v>
      </c>
      <c r="E583" s="9">
        <v>0</v>
      </c>
      <c r="F583" s="9">
        <v>0</v>
      </c>
      <c r="G583" s="9">
        <v>1</v>
      </c>
      <c r="H583" s="9">
        <v>0</v>
      </c>
      <c r="I583" s="9">
        <v>1</v>
      </c>
      <c r="J583" s="9">
        <v>0</v>
      </c>
      <c r="K583" s="55"/>
      <c r="L583" s="24"/>
    </row>
    <row r="584" spans="2:12" x14ac:dyDescent="0.2">
      <c r="B584" s="6" t="s">
        <v>442</v>
      </c>
      <c r="C584" s="9" t="s">
        <v>20</v>
      </c>
      <c r="D584" s="22">
        <v>42901</v>
      </c>
      <c r="E584" s="9">
        <v>0</v>
      </c>
      <c r="F584" s="9">
        <v>0</v>
      </c>
      <c r="G584" s="9">
        <v>1</v>
      </c>
      <c r="H584" s="9">
        <v>0</v>
      </c>
      <c r="I584" s="9">
        <v>1</v>
      </c>
      <c r="J584" s="9">
        <v>0</v>
      </c>
      <c r="K584" s="55"/>
      <c r="L584" s="24"/>
    </row>
    <row r="585" spans="2:12" x14ac:dyDescent="0.2">
      <c r="B585" s="6" t="s">
        <v>575</v>
      </c>
      <c r="C585" s="9" t="s">
        <v>31</v>
      </c>
      <c r="D585" s="22">
        <v>42849</v>
      </c>
      <c r="E585" s="9">
        <v>0</v>
      </c>
      <c r="F585" s="9">
        <v>0</v>
      </c>
      <c r="G585" s="9">
        <v>1</v>
      </c>
      <c r="H585" s="9">
        <v>0</v>
      </c>
      <c r="I585" s="9">
        <v>1</v>
      </c>
      <c r="J585" s="9">
        <v>0</v>
      </c>
      <c r="K585" s="55"/>
      <c r="L585" s="24"/>
    </row>
    <row r="586" spans="2:12" x14ac:dyDescent="0.2">
      <c r="B586" s="6" t="s">
        <v>265</v>
      </c>
      <c r="C586" s="9" t="s">
        <v>20</v>
      </c>
      <c r="D586" s="22">
        <v>42841</v>
      </c>
      <c r="E586" s="9">
        <v>0</v>
      </c>
      <c r="F586" s="9">
        <v>0</v>
      </c>
      <c r="G586" s="9">
        <v>1</v>
      </c>
      <c r="H586" s="9">
        <v>0</v>
      </c>
      <c r="I586" s="9">
        <v>1</v>
      </c>
      <c r="J586" s="9">
        <v>0</v>
      </c>
      <c r="K586" s="55"/>
      <c r="L586" s="24"/>
    </row>
    <row r="587" spans="2:12" x14ac:dyDescent="0.2">
      <c r="B587" s="6" t="s">
        <v>103</v>
      </c>
      <c r="C587" s="9" t="s">
        <v>20</v>
      </c>
      <c r="D587" s="22">
        <v>42840</v>
      </c>
      <c r="E587" s="9">
        <v>0</v>
      </c>
      <c r="F587" s="9">
        <v>0</v>
      </c>
      <c r="G587" s="9">
        <v>1</v>
      </c>
      <c r="H587" s="9">
        <v>0</v>
      </c>
      <c r="I587" s="9">
        <v>1</v>
      </c>
      <c r="J587" s="9">
        <v>0</v>
      </c>
      <c r="K587" s="55"/>
      <c r="L587" s="24"/>
    </row>
    <row r="588" spans="2:12" x14ac:dyDescent="0.2">
      <c r="B588" s="6" t="s">
        <v>465</v>
      </c>
      <c r="C588" s="9" t="s">
        <v>20</v>
      </c>
      <c r="D588" s="22">
        <v>42844</v>
      </c>
      <c r="E588" s="9">
        <v>0</v>
      </c>
      <c r="F588" s="9">
        <v>0</v>
      </c>
      <c r="G588" s="9">
        <v>1</v>
      </c>
      <c r="H588" s="9">
        <v>0</v>
      </c>
      <c r="I588" s="9">
        <v>1</v>
      </c>
      <c r="J588" s="9">
        <v>0</v>
      </c>
      <c r="K588" s="55"/>
      <c r="L588" s="24"/>
    </row>
    <row r="589" spans="2:12" x14ac:dyDescent="0.2">
      <c r="B589" s="6" t="s">
        <v>197</v>
      </c>
      <c r="C589" s="9" t="s">
        <v>20</v>
      </c>
      <c r="D589" s="22">
        <v>42861</v>
      </c>
      <c r="E589" s="9">
        <v>0</v>
      </c>
      <c r="F589" s="9">
        <v>0</v>
      </c>
      <c r="G589" s="9">
        <v>1</v>
      </c>
      <c r="H589" s="9">
        <v>0</v>
      </c>
      <c r="I589" s="9">
        <v>1</v>
      </c>
      <c r="J589" s="9">
        <v>0</v>
      </c>
      <c r="K589" s="55"/>
      <c r="L589" s="24"/>
    </row>
    <row r="590" spans="2:12" x14ac:dyDescent="0.2">
      <c r="B590" s="6" t="s">
        <v>312</v>
      </c>
      <c r="C590" s="9" t="s">
        <v>20</v>
      </c>
      <c r="D590" s="22">
        <v>42870</v>
      </c>
      <c r="E590" s="9">
        <v>0</v>
      </c>
      <c r="F590" s="9">
        <v>0</v>
      </c>
      <c r="G590" s="9">
        <v>1</v>
      </c>
      <c r="H590" s="9">
        <v>0</v>
      </c>
      <c r="I590" s="9">
        <v>1</v>
      </c>
      <c r="J590" s="9">
        <v>0</v>
      </c>
      <c r="K590" s="55"/>
      <c r="L590" s="24"/>
    </row>
    <row r="591" spans="2:12" x14ac:dyDescent="0.2">
      <c r="B591" s="6" t="s">
        <v>714</v>
      </c>
      <c r="C591" s="9" t="s">
        <v>20</v>
      </c>
      <c r="D591" s="22">
        <v>42845</v>
      </c>
      <c r="E591" s="9">
        <v>0</v>
      </c>
      <c r="F591" s="9">
        <v>0</v>
      </c>
      <c r="G591" s="9">
        <v>1</v>
      </c>
      <c r="H591" s="9">
        <v>0</v>
      </c>
      <c r="I591" s="9">
        <v>1</v>
      </c>
      <c r="J591" s="9">
        <v>0</v>
      </c>
      <c r="K591" s="55"/>
      <c r="L591" s="24"/>
    </row>
    <row r="592" spans="2:12" x14ac:dyDescent="0.2">
      <c r="B592" s="6" t="s">
        <v>549</v>
      </c>
      <c r="C592" s="9" t="s">
        <v>20</v>
      </c>
      <c r="D592" s="22">
        <v>42882</v>
      </c>
      <c r="E592" s="9">
        <v>0</v>
      </c>
      <c r="F592" s="9">
        <v>0</v>
      </c>
      <c r="G592" s="9">
        <v>1</v>
      </c>
      <c r="H592" s="9">
        <v>0</v>
      </c>
      <c r="I592" s="9">
        <v>1</v>
      </c>
      <c r="J592" s="9">
        <v>0</v>
      </c>
      <c r="K592" s="55"/>
      <c r="L592" s="24"/>
    </row>
    <row r="593" spans="2:12" x14ac:dyDescent="0.2">
      <c r="B593" s="6" t="s">
        <v>398</v>
      </c>
      <c r="C593" s="9" t="s">
        <v>20</v>
      </c>
      <c r="D593" s="22">
        <v>42837</v>
      </c>
      <c r="E593" s="9">
        <v>0</v>
      </c>
      <c r="F593" s="9">
        <v>0</v>
      </c>
      <c r="G593" s="9">
        <v>1</v>
      </c>
      <c r="H593" s="9">
        <v>0</v>
      </c>
      <c r="I593" s="9">
        <v>1</v>
      </c>
      <c r="J593" s="9">
        <v>0</v>
      </c>
      <c r="K593" s="55"/>
      <c r="L593" s="24"/>
    </row>
    <row r="594" spans="2:12" x14ac:dyDescent="0.2">
      <c r="B594" s="6" t="s">
        <v>416</v>
      </c>
      <c r="C594" s="9" t="s">
        <v>20</v>
      </c>
      <c r="D594" s="22">
        <v>42886</v>
      </c>
      <c r="E594" s="9">
        <v>0</v>
      </c>
      <c r="F594" s="9">
        <v>0</v>
      </c>
      <c r="G594" s="9">
        <v>1</v>
      </c>
      <c r="H594" s="9">
        <v>0</v>
      </c>
      <c r="I594" s="9">
        <v>1</v>
      </c>
      <c r="J594" s="9">
        <v>0</v>
      </c>
      <c r="K594" s="55"/>
      <c r="L594" s="24"/>
    </row>
    <row r="595" spans="2:12" x14ac:dyDescent="0.2">
      <c r="B595" s="6" t="s">
        <v>258</v>
      </c>
      <c r="C595" s="9" t="s">
        <v>31</v>
      </c>
      <c r="D595" s="22">
        <v>42863</v>
      </c>
      <c r="E595" s="9">
        <v>0</v>
      </c>
      <c r="F595" s="9">
        <v>0</v>
      </c>
      <c r="G595" s="9">
        <v>1</v>
      </c>
      <c r="H595" s="9">
        <v>0</v>
      </c>
      <c r="I595" s="9">
        <v>1</v>
      </c>
      <c r="J595" s="9">
        <v>0</v>
      </c>
      <c r="K595" s="55"/>
      <c r="L595" s="24"/>
    </row>
    <row r="596" spans="2:12" x14ac:dyDescent="0.2">
      <c r="B596" s="6" t="s">
        <v>684</v>
      </c>
      <c r="C596" s="9" t="s">
        <v>20</v>
      </c>
      <c r="D596" s="22">
        <v>42861</v>
      </c>
      <c r="E596" s="9">
        <v>0</v>
      </c>
      <c r="F596" s="9">
        <v>0</v>
      </c>
      <c r="G596" s="9">
        <v>1</v>
      </c>
      <c r="H596" s="9">
        <v>0</v>
      </c>
      <c r="I596" s="9">
        <v>1</v>
      </c>
      <c r="J596" s="9">
        <v>0</v>
      </c>
      <c r="K596" s="55"/>
      <c r="L596" s="24"/>
    </row>
    <row r="597" spans="2:12" x14ac:dyDescent="0.2">
      <c r="B597" s="6" t="s">
        <v>658</v>
      </c>
      <c r="C597" s="9" t="s">
        <v>20</v>
      </c>
      <c r="D597" s="22">
        <v>42872</v>
      </c>
      <c r="E597" s="9">
        <v>0</v>
      </c>
      <c r="F597" s="9">
        <v>0</v>
      </c>
      <c r="G597" s="9">
        <v>1</v>
      </c>
      <c r="H597" s="9">
        <v>0</v>
      </c>
      <c r="I597" s="9">
        <v>1</v>
      </c>
      <c r="J597" s="9">
        <v>0</v>
      </c>
      <c r="K597" s="55"/>
      <c r="L597" s="24"/>
    </row>
    <row r="598" spans="2:12" x14ac:dyDescent="0.2">
      <c r="B598" s="6" t="s">
        <v>574</v>
      </c>
      <c r="C598" s="9" t="s">
        <v>20</v>
      </c>
      <c r="D598" s="22">
        <v>42912</v>
      </c>
      <c r="E598" s="9">
        <v>0</v>
      </c>
      <c r="F598" s="9">
        <v>0</v>
      </c>
      <c r="G598" s="9">
        <v>1</v>
      </c>
      <c r="H598" s="9">
        <v>0</v>
      </c>
      <c r="I598" s="9">
        <v>1</v>
      </c>
      <c r="J598" s="9">
        <v>0</v>
      </c>
      <c r="K598" s="55"/>
      <c r="L598" s="24"/>
    </row>
    <row r="599" spans="2:12" x14ac:dyDescent="0.2">
      <c r="B599" s="6" t="s">
        <v>206</v>
      </c>
      <c r="C599" s="9" t="s">
        <v>31</v>
      </c>
      <c r="D599" s="22">
        <v>42848</v>
      </c>
      <c r="E599" s="9">
        <v>0</v>
      </c>
      <c r="F599" s="9">
        <v>0</v>
      </c>
      <c r="G599" s="9">
        <v>1</v>
      </c>
      <c r="H599" s="9">
        <v>0</v>
      </c>
      <c r="I599" s="9">
        <v>1</v>
      </c>
      <c r="J599" s="9">
        <v>0</v>
      </c>
      <c r="K599" s="55"/>
      <c r="L599" s="24"/>
    </row>
    <row r="600" spans="2:12" x14ac:dyDescent="0.2">
      <c r="B600" s="6" t="s">
        <v>359</v>
      </c>
      <c r="C600" s="9" t="s">
        <v>20</v>
      </c>
      <c r="D600" s="22">
        <v>42842</v>
      </c>
      <c r="E600" s="9">
        <v>0</v>
      </c>
      <c r="F600" s="9">
        <v>0</v>
      </c>
      <c r="G600" s="9">
        <v>1</v>
      </c>
      <c r="H600" s="9">
        <v>0</v>
      </c>
      <c r="I600" s="9">
        <v>1</v>
      </c>
      <c r="J600" s="9">
        <v>0</v>
      </c>
      <c r="K600" s="55"/>
      <c r="L600" s="24"/>
    </row>
    <row r="601" spans="2:12" x14ac:dyDescent="0.2">
      <c r="B601" s="6" t="s">
        <v>168</v>
      </c>
      <c r="C601" s="9" t="s">
        <v>31</v>
      </c>
      <c r="D601" s="22">
        <v>42879</v>
      </c>
      <c r="E601" s="9">
        <v>0</v>
      </c>
      <c r="F601" s="9">
        <v>0</v>
      </c>
      <c r="G601" s="9">
        <v>1</v>
      </c>
      <c r="H601" s="9">
        <v>0</v>
      </c>
      <c r="I601" s="9">
        <v>1</v>
      </c>
      <c r="J601" s="9">
        <v>0</v>
      </c>
      <c r="K601" s="55"/>
      <c r="L601" s="24"/>
    </row>
    <row r="602" spans="2:12" x14ac:dyDescent="0.2">
      <c r="B602" s="6" t="s">
        <v>648</v>
      </c>
      <c r="C602" s="9" t="s">
        <v>20</v>
      </c>
      <c r="D602" s="22">
        <v>42902</v>
      </c>
      <c r="E602" s="9">
        <v>0</v>
      </c>
      <c r="F602" s="9">
        <v>0</v>
      </c>
      <c r="G602" s="9">
        <v>1</v>
      </c>
      <c r="H602" s="9">
        <v>0</v>
      </c>
      <c r="I602" s="9">
        <v>1</v>
      </c>
      <c r="J602" s="9">
        <v>0</v>
      </c>
      <c r="K602" s="55"/>
      <c r="L602" s="24"/>
    </row>
    <row r="603" spans="2:12" x14ac:dyDescent="0.2">
      <c r="B603" s="6" t="s">
        <v>667</v>
      </c>
      <c r="C603" s="9" t="s">
        <v>31</v>
      </c>
      <c r="D603" s="22">
        <v>42907</v>
      </c>
      <c r="E603" s="9">
        <v>0</v>
      </c>
      <c r="F603" s="9">
        <v>0</v>
      </c>
      <c r="G603" s="9">
        <v>1</v>
      </c>
      <c r="H603" s="9">
        <v>0</v>
      </c>
      <c r="I603" s="9">
        <v>1</v>
      </c>
      <c r="J603" s="9">
        <v>0</v>
      </c>
      <c r="K603" s="55"/>
      <c r="L603" s="24"/>
    </row>
    <row r="604" spans="2:12" x14ac:dyDescent="0.2">
      <c r="B604" s="6" t="s">
        <v>132</v>
      </c>
      <c r="C604" s="9" t="s">
        <v>20</v>
      </c>
      <c r="D604" s="22">
        <v>42892</v>
      </c>
      <c r="E604" s="9">
        <v>0</v>
      </c>
      <c r="F604" s="9">
        <v>0</v>
      </c>
      <c r="G604" s="9">
        <v>1</v>
      </c>
      <c r="H604" s="9">
        <v>0</v>
      </c>
      <c r="I604" s="9">
        <v>1</v>
      </c>
      <c r="J604" s="9">
        <v>0</v>
      </c>
      <c r="K604" s="55"/>
      <c r="L604" s="24"/>
    </row>
    <row r="605" spans="2:12" x14ac:dyDescent="0.2">
      <c r="B605" s="6" t="s">
        <v>719</v>
      </c>
      <c r="C605" s="9" t="s">
        <v>20</v>
      </c>
      <c r="D605" s="22">
        <v>42887</v>
      </c>
      <c r="E605" s="9">
        <v>0</v>
      </c>
      <c r="F605" s="9">
        <v>0</v>
      </c>
      <c r="G605" s="9">
        <v>1</v>
      </c>
      <c r="H605" s="9">
        <v>0</v>
      </c>
      <c r="I605" s="9">
        <v>1</v>
      </c>
      <c r="J605" s="9">
        <v>0</v>
      </c>
      <c r="K605" s="55"/>
      <c r="L605" s="24"/>
    </row>
    <row r="606" spans="2:12" x14ac:dyDescent="0.2">
      <c r="B606" s="6" t="s">
        <v>57</v>
      </c>
      <c r="C606" s="9" t="s">
        <v>20</v>
      </c>
      <c r="D606" s="22">
        <v>42909</v>
      </c>
      <c r="E606" s="9">
        <v>0</v>
      </c>
      <c r="F606" s="9">
        <v>0</v>
      </c>
      <c r="G606" s="9">
        <v>1</v>
      </c>
      <c r="H606" s="9">
        <v>0</v>
      </c>
      <c r="I606" s="9">
        <v>1</v>
      </c>
      <c r="J606" s="9">
        <v>0</v>
      </c>
      <c r="K606" s="55"/>
      <c r="L606" s="24"/>
    </row>
    <row r="607" spans="2:12" x14ac:dyDescent="0.2">
      <c r="B607" s="6" t="s">
        <v>337</v>
      </c>
      <c r="C607" s="9" t="s">
        <v>20</v>
      </c>
      <c r="D607" s="22">
        <v>42846</v>
      </c>
      <c r="E607" s="9">
        <v>0</v>
      </c>
      <c r="F607" s="9">
        <v>0</v>
      </c>
      <c r="G607" s="9">
        <v>1</v>
      </c>
      <c r="H607" s="9">
        <v>0</v>
      </c>
      <c r="I607" s="9">
        <v>1</v>
      </c>
      <c r="J607" s="9">
        <v>0</v>
      </c>
      <c r="K607" s="55"/>
      <c r="L607" s="24"/>
    </row>
    <row r="608" spans="2:12" x14ac:dyDescent="0.2">
      <c r="B608" s="6" t="s">
        <v>292</v>
      </c>
      <c r="C608" s="9" t="s">
        <v>20</v>
      </c>
      <c r="D608" s="22">
        <v>42875</v>
      </c>
      <c r="E608" s="9">
        <v>0</v>
      </c>
      <c r="F608" s="9">
        <v>0</v>
      </c>
      <c r="G608" s="9">
        <v>1</v>
      </c>
      <c r="H608" s="9">
        <v>0</v>
      </c>
      <c r="I608" s="9">
        <v>1</v>
      </c>
      <c r="J608" s="9">
        <v>0</v>
      </c>
      <c r="K608" s="55"/>
      <c r="L608" s="24"/>
    </row>
    <row r="609" spans="2:12" x14ac:dyDescent="0.2">
      <c r="B609" s="6" t="s">
        <v>59</v>
      </c>
      <c r="C609" s="9" t="s">
        <v>20</v>
      </c>
      <c r="D609" s="22">
        <v>42843</v>
      </c>
      <c r="E609" s="9">
        <v>0</v>
      </c>
      <c r="F609" s="9">
        <v>0</v>
      </c>
      <c r="G609" s="9">
        <v>1</v>
      </c>
      <c r="H609" s="9">
        <v>0</v>
      </c>
      <c r="I609" s="9">
        <v>1</v>
      </c>
      <c r="J609" s="9">
        <v>0</v>
      </c>
      <c r="K609" s="55"/>
      <c r="L609" s="24"/>
    </row>
    <row r="610" spans="2:12" x14ac:dyDescent="0.2">
      <c r="B610" s="6" t="s">
        <v>299</v>
      </c>
      <c r="C610" s="9" t="s">
        <v>31</v>
      </c>
      <c r="D610" s="22">
        <v>42909</v>
      </c>
      <c r="E610" s="9">
        <v>0</v>
      </c>
      <c r="F610" s="9">
        <v>0</v>
      </c>
      <c r="G610" s="9">
        <v>1</v>
      </c>
      <c r="H610" s="9">
        <v>0</v>
      </c>
      <c r="I610" s="9">
        <v>1</v>
      </c>
      <c r="J610" s="9">
        <v>0</v>
      </c>
      <c r="K610" s="55"/>
      <c r="L610" s="24"/>
    </row>
    <row r="611" spans="2:12" x14ac:dyDescent="0.2">
      <c r="B611" s="6" t="s">
        <v>58</v>
      </c>
      <c r="C611" s="9" t="s">
        <v>31</v>
      </c>
      <c r="D611" s="22">
        <v>42837</v>
      </c>
      <c r="E611" s="9">
        <v>0</v>
      </c>
      <c r="F611" s="9">
        <v>0</v>
      </c>
      <c r="G611" s="9">
        <v>1</v>
      </c>
      <c r="H611" s="9">
        <v>0</v>
      </c>
      <c r="I611" s="9">
        <v>1</v>
      </c>
      <c r="J611" s="9">
        <v>0</v>
      </c>
      <c r="K611" s="55"/>
      <c r="L611" s="24"/>
    </row>
    <row r="612" spans="2:12" x14ac:dyDescent="0.2">
      <c r="B612" s="6" t="s">
        <v>547</v>
      </c>
      <c r="C612" s="9" t="s">
        <v>20</v>
      </c>
      <c r="D612" s="22">
        <v>42831</v>
      </c>
      <c r="E612" s="9">
        <v>0</v>
      </c>
      <c r="F612" s="9">
        <v>0</v>
      </c>
      <c r="G612" s="9">
        <v>1</v>
      </c>
      <c r="H612" s="9">
        <v>0</v>
      </c>
      <c r="I612" s="9">
        <v>1</v>
      </c>
      <c r="J612" s="9">
        <v>0</v>
      </c>
      <c r="K612" s="55"/>
      <c r="L612" s="24"/>
    </row>
    <row r="613" spans="2:12" x14ac:dyDescent="0.2">
      <c r="B613" s="6" t="s">
        <v>44</v>
      </c>
      <c r="C613" s="9" t="s">
        <v>20</v>
      </c>
      <c r="D613" s="22">
        <v>42878</v>
      </c>
      <c r="E613" s="9">
        <v>0</v>
      </c>
      <c r="F613" s="9">
        <v>0</v>
      </c>
      <c r="G613" s="9">
        <v>1</v>
      </c>
      <c r="H613" s="9">
        <v>0</v>
      </c>
      <c r="I613" s="9">
        <v>1</v>
      </c>
      <c r="J613" s="9">
        <v>0</v>
      </c>
      <c r="K613" s="55"/>
      <c r="L613" s="24"/>
    </row>
    <row r="614" spans="2:12" x14ac:dyDescent="0.2">
      <c r="B614" s="6" t="s">
        <v>495</v>
      </c>
      <c r="C614" s="9" t="s">
        <v>31</v>
      </c>
      <c r="D614" s="22">
        <v>42862</v>
      </c>
      <c r="E614" s="9">
        <v>0</v>
      </c>
      <c r="F614" s="9">
        <v>0</v>
      </c>
      <c r="G614" s="9">
        <v>1</v>
      </c>
      <c r="H614" s="9">
        <v>0</v>
      </c>
      <c r="I614" s="9">
        <v>1</v>
      </c>
      <c r="J614" s="9">
        <v>0</v>
      </c>
      <c r="K614" s="55"/>
      <c r="L614" s="24"/>
    </row>
    <row r="615" spans="2:12" x14ac:dyDescent="0.2">
      <c r="B615" s="6" t="s">
        <v>425</v>
      </c>
      <c r="C615" s="9" t="s">
        <v>31</v>
      </c>
      <c r="D615" s="22">
        <v>42902</v>
      </c>
      <c r="E615" s="9">
        <v>0</v>
      </c>
      <c r="F615" s="9">
        <v>0</v>
      </c>
      <c r="G615" s="9">
        <v>1</v>
      </c>
      <c r="H615" s="9">
        <v>0</v>
      </c>
      <c r="I615" s="9">
        <v>1</v>
      </c>
      <c r="J615" s="9">
        <v>0</v>
      </c>
      <c r="K615" s="55"/>
      <c r="L615" s="24"/>
    </row>
    <row r="616" spans="2:12" x14ac:dyDescent="0.2">
      <c r="B616" s="6" t="s">
        <v>524</v>
      </c>
      <c r="C616" s="9" t="s">
        <v>20</v>
      </c>
      <c r="D616" s="22">
        <v>42857</v>
      </c>
      <c r="E616" s="9">
        <v>0</v>
      </c>
      <c r="F616" s="9">
        <v>0</v>
      </c>
      <c r="G616" s="9">
        <v>1</v>
      </c>
      <c r="H616" s="9">
        <v>0</v>
      </c>
      <c r="I616" s="9">
        <v>1</v>
      </c>
      <c r="J616" s="9">
        <v>0</v>
      </c>
      <c r="K616" s="55"/>
      <c r="L616" s="24"/>
    </row>
    <row r="617" spans="2:12" x14ac:dyDescent="0.2">
      <c r="B617" s="6" t="s">
        <v>588</v>
      </c>
      <c r="C617" s="9" t="s">
        <v>20</v>
      </c>
      <c r="D617" s="22">
        <v>42913</v>
      </c>
      <c r="E617" s="9">
        <v>0</v>
      </c>
      <c r="F617" s="9">
        <v>0</v>
      </c>
      <c r="G617" s="9">
        <v>1</v>
      </c>
      <c r="H617" s="9">
        <v>0</v>
      </c>
      <c r="I617" s="9">
        <v>1</v>
      </c>
      <c r="J617" s="9">
        <v>0</v>
      </c>
      <c r="K617" s="55"/>
      <c r="L617" s="24"/>
    </row>
    <row r="618" spans="2:12" x14ac:dyDescent="0.2">
      <c r="B618" s="6" t="s">
        <v>573</v>
      </c>
      <c r="C618" s="9" t="s">
        <v>20</v>
      </c>
      <c r="D618" s="22">
        <v>42855</v>
      </c>
      <c r="E618" s="9">
        <v>0</v>
      </c>
      <c r="F618" s="9">
        <v>0</v>
      </c>
      <c r="G618" s="9">
        <v>1</v>
      </c>
      <c r="H618" s="9">
        <v>0</v>
      </c>
      <c r="I618" s="9">
        <v>1</v>
      </c>
      <c r="J618" s="9">
        <v>0</v>
      </c>
      <c r="K618" s="55"/>
      <c r="L618" s="24"/>
    </row>
    <row r="619" spans="2:12" x14ac:dyDescent="0.2">
      <c r="B619" s="6" t="s">
        <v>74</v>
      </c>
      <c r="C619" s="9" t="s">
        <v>20</v>
      </c>
      <c r="D619" s="22">
        <v>42850</v>
      </c>
      <c r="E619" s="9">
        <v>0</v>
      </c>
      <c r="F619" s="9">
        <v>0</v>
      </c>
      <c r="G619" s="9">
        <v>1</v>
      </c>
      <c r="H619" s="9">
        <v>0</v>
      </c>
      <c r="I619" s="9">
        <v>1</v>
      </c>
      <c r="J619" s="9">
        <v>0</v>
      </c>
      <c r="K619" s="55"/>
      <c r="L619" s="24"/>
    </row>
    <row r="620" spans="2:12" x14ac:dyDescent="0.2">
      <c r="B620" s="6" t="s">
        <v>432</v>
      </c>
      <c r="C620" s="9" t="s">
        <v>31</v>
      </c>
      <c r="D620" s="22">
        <v>42838</v>
      </c>
      <c r="E620" s="9">
        <v>0</v>
      </c>
      <c r="F620" s="9">
        <v>0</v>
      </c>
      <c r="G620" s="9">
        <v>1</v>
      </c>
      <c r="H620" s="9">
        <v>0</v>
      </c>
      <c r="I620" s="9">
        <v>1</v>
      </c>
      <c r="J620" s="9">
        <v>0</v>
      </c>
      <c r="K620" s="55"/>
      <c r="L620" s="24"/>
    </row>
    <row r="621" spans="2:12" x14ac:dyDescent="0.2">
      <c r="B621" s="6" t="s">
        <v>679</v>
      </c>
      <c r="C621" s="9" t="s">
        <v>31</v>
      </c>
      <c r="D621" s="22">
        <v>42834</v>
      </c>
      <c r="E621" s="9">
        <v>0</v>
      </c>
      <c r="F621" s="9">
        <v>0</v>
      </c>
      <c r="G621" s="9">
        <v>1</v>
      </c>
      <c r="H621" s="9">
        <v>0</v>
      </c>
      <c r="I621" s="9">
        <v>1</v>
      </c>
      <c r="J621" s="9">
        <v>0</v>
      </c>
      <c r="K621" s="55"/>
      <c r="L621" s="24"/>
    </row>
    <row r="622" spans="2:12" x14ac:dyDescent="0.2">
      <c r="B622" s="6" t="s">
        <v>499</v>
      </c>
      <c r="C622" s="9" t="s">
        <v>31</v>
      </c>
      <c r="D622" s="22">
        <v>42866</v>
      </c>
      <c r="E622" s="9">
        <v>0</v>
      </c>
      <c r="F622" s="9">
        <v>0</v>
      </c>
      <c r="G622" s="9">
        <v>1</v>
      </c>
      <c r="H622" s="9">
        <v>0</v>
      </c>
      <c r="I622" s="9">
        <v>1</v>
      </c>
      <c r="J622" s="9">
        <v>0</v>
      </c>
      <c r="K622" s="55"/>
      <c r="L622" s="24"/>
    </row>
    <row r="623" spans="2:12" x14ac:dyDescent="0.2">
      <c r="B623" s="6" t="s">
        <v>42</v>
      </c>
      <c r="C623" s="9" t="s">
        <v>20</v>
      </c>
      <c r="D623" s="22">
        <v>42909</v>
      </c>
      <c r="E623" s="9">
        <v>0</v>
      </c>
      <c r="F623" s="9">
        <v>0</v>
      </c>
      <c r="G623" s="9">
        <v>1</v>
      </c>
      <c r="H623" s="9">
        <v>0</v>
      </c>
      <c r="I623" s="9">
        <v>1</v>
      </c>
      <c r="J623" s="9">
        <v>0</v>
      </c>
      <c r="K623" s="55"/>
      <c r="L623" s="24"/>
    </row>
    <row r="624" spans="2:12" x14ac:dyDescent="0.2">
      <c r="B624" s="6" t="s">
        <v>457</v>
      </c>
      <c r="C624" s="9" t="s">
        <v>31</v>
      </c>
      <c r="D624" s="22">
        <v>42859</v>
      </c>
      <c r="E624" s="9">
        <v>0</v>
      </c>
      <c r="F624" s="9">
        <v>0</v>
      </c>
      <c r="G624" s="9">
        <v>1</v>
      </c>
      <c r="H624" s="9">
        <v>0</v>
      </c>
      <c r="I624" s="9">
        <v>1</v>
      </c>
      <c r="J624" s="9">
        <v>0</v>
      </c>
      <c r="K624" s="55"/>
      <c r="L624" s="24"/>
    </row>
    <row r="625" spans="2:12" x14ac:dyDescent="0.2">
      <c r="B625" s="6" t="s">
        <v>73</v>
      </c>
      <c r="C625" s="9" t="s">
        <v>20</v>
      </c>
      <c r="D625" s="22">
        <v>42831</v>
      </c>
      <c r="E625" s="9">
        <v>0</v>
      </c>
      <c r="F625" s="9">
        <v>0</v>
      </c>
      <c r="G625" s="9">
        <v>1</v>
      </c>
      <c r="H625" s="9">
        <v>0</v>
      </c>
      <c r="I625" s="9">
        <v>1</v>
      </c>
      <c r="J625" s="9">
        <v>0</v>
      </c>
      <c r="K625" s="55"/>
      <c r="L625" s="24"/>
    </row>
    <row r="626" spans="2:12" x14ac:dyDescent="0.2">
      <c r="B626" s="6" t="s">
        <v>205</v>
      </c>
      <c r="C626" s="9" t="s">
        <v>20</v>
      </c>
      <c r="D626" s="22">
        <v>42903</v>
      </c>
      <c r="E626" s="9">
        <v>0</v>
      </c>
      <c r="F626" s="9">
        <v>0</v>
      </c>
      <c r="G626" s="9">
        <v>1</v>
      </c>
      <c r="H626" s="9">
        <v>0</v>
      </c>
      <c r="I626" s="9">
        <v>1</v>
      </c>
      <c r="J626" s="9">
        <v>0</v>
      </c>
      <c r="K626" s="55"/>
      <c r="L626" s="24"/>
    </row>
    <row r="627" spans="2:12" x14ac:dyDescent="0.2">
      <c r="B627" s="6" t="s">
        <v>705</v>
      </c>
      <c r="C627" s="9" t="s">
        <v>31</v>
      </c>
      <c r="D627" s="22">
        <v>42915</v>
      </c>
      <c r="E627" s="9">
        <v>0</v>
      </c>
      <c r="F627" s="9">
        <v>0</v>
      </c>
      <c r="G627" s="9">
        <v>1</v>
      </c>
      <c r="H627" s="9">
        <v>0</v>
      </c>
      <c r="I627" s="9">
        <v>1</v>
      </c>
      <c r="J627" s="9">
        <v>0</v>
      </c>
      <c r="K627" s="55"/>
      <c r="L627" s="24"/>
    </row>
    <row r="628" spans="2:12" x14ac:dyDescent="0.2">
      <c r="B628" s="6" t="s">
        <v>352</v>
      </c>
      <c r="C628" s="9" t="s">
        <v>20</v>
      </c>
      <c r="D628" s="22">
        <v>42874</v>
      </c>
      <c r="E628" s="9">
        <v>0</v>
      </c>
      <c r="F628" s="9">
        <v>0</v>
      </c>
      <c r="G628" s="9">
        <v>1</v>
      </c>
      <c r="H628" s="9">
        <v>0</v>
      </c>
      <c r="I628" s="9">
        <v>1</v>
      </c>
      <c r="J628" s="9">
        <v>0</v>
      </c>
      <c r="K628" s="55"/>
      <c r="L628" s="24"/>
    </row>
    <row r="629" spans="2:12" x14ac:dyDescent="0.2">
      <c r="B629" s="6" t="s">
        <v>697</v>
      </c>
      <c r="C629" s="9" t="s">
        <v>20</v>
      </c>
      <c r="D629" s="22">
        <v>42893</v>
      </c>
      <c r="E629" s="9">
        <v>0</v>
      </c>
      <c r="F629" s="9">
        <v>0</v>
      </c>
      <c r="G629" s="9">
        <v>1</v>
      </c>
      <c r="H629" s="9">
        <v>0</v>
      </c>
      <c r="I629" s="9">
        <v>1</v>
      </c>
      <c r="J629" s="9">
        <v>0</v>
      </c>
      <c r="K629" s="55"/>
      <c r="L629" s="24"/>
    </row>
    <row r="630" spans="2:12" x14ac:dyDescent="0.2">
      <c r="B630" s="6" t="s">
        <v>551</v>
      </c>
      <c r="C630" s="9" t="s">
        <v>31</v>
      </c>
      <c r="D630" s="22">
        <v>42878</v>
      </c>
      <c r="E630" s="9">
        <v>0</v>
      </c>
      <c r="F630" s="9">
        <v>0</v>
      </c>
      <c r="G630" s="9">
        <v>1</v>
      </c>
      <c r="H630" s="9">
        <v>0</v>
      </c>
      <c r="I630" s="9">
        <v>1</v>
      </c>
      <c r="J630" s="9">
        <v>0</v>
      </c>
      <c r="K630" s="55"/>
      <c r="L630" s="24"/>
    </row>
    <row r="631" spans="2:12" x14ac:dyDescent="0.2">
      <c r="B631" s="6" t="s">
        <v>523</v>
      </c>
      <c r="C631" s="9" t="s">
        <v>31</v>
      </c>
      <c r="D631" s="22">
        <v>42902</v>
      </c>
      <c r="E631" s="9">
        <v>0</v>
      </c>
      <c r="F631" s="9">
        <v>0</v>
      </c>
      <c r="G631" s="9">
        <v>1</v>
      </c>
      <c r="H631" s="9">
        <v>0</v>
      </c>
      <c r="I631" s="9">
        <v>1</v>
      </c>
      <c r="J631" s="9">
        <v>0</v>
      </c>
      <c r="K631" s="55"/>
      <c r="L631" s="24"/>
    </row>
    <row r="632" spans="2:12" x14ac:dyDescent="0.2">
      <c r="B632" s="6" t="s">
        <v>579</v>
      </c>
      <c r="C632" s="9" t="s">
        <v>20</v>
      </c>
      <c r="D632" s="22">
        <v>42897</v>
      </c>
      <c r="E632" s="9">
        <v>0</v>
      </c>
      <c r="F632" s="9">
        <v>0</v>
      </c>
      <c r="G632" s="9">
        <v>1</v>
      </c>
      <c r="H632" s="9">
        <v>0</v>
      </c>
      <c r="I632" s="9">
        <v>1</v>
      </c>
      <c r="J632" s="9">
        <v>0</v>
      </c>
      <c r="K632" s="55"/>
      <c r="L632" s="24"/>
    </row>
    <row r="633" spans="2:12" x14ac:dyDescent="0.2">
      <c r="B633" s="6" t="s">
        <v>239</v>
      </c>
      <c r="C633" s="9" t="s">
        <v>31</v>
      </c>
      <c r="D633" s="22">
        <v>42851</v>
      </c>
      <c r="E633" s="9">
        <v>0</v>
      </c>
      <c r="F633" s="9">
        <v>0</v>
      </c>
      <c r="G633" s="9">
        <v>1</v>
      </c>
      <c r="H633" s="9">
        <v>0</v>
      </c>
      <c r="I633" s="9">
        <v>1</v>
      </c>
      <c r="J633" s="9">
        <v>0</v>
      </c>
      <c r="K633" s="55"/>
      <c r="L633" s="24"/>
    </row>
    <row r="634" spans="2:12" x14ac:dyDescent="0.2">
      <c r="B634" s="6" t="s">
        <v>725</v>
      </c>
      <c r="C634" s="9" t="s">
        <v>20</v>
      </c>
      <c r="D634" s="22">
        <v>42868</v>
      </c>
      <c r="E634" s="9">
        <v>0</v>
      </c>
      <c r="F634" s="9">
        <v>0</v>
      </c>
      <c r="G634" s="9">
        <v>1</v>
      </c>
      <c r="H634" s="9">
        <v>0</v>
      </c>
      <c r="I634" s="9">
        <v>1</v>
      </c>
      <c r="J634" s="9">
        <v>0</v>
      </c>
      <c r="K634" s="55"/>
      <c r="L634" s="24"/>
    </row>
    <row r="635" spans="2:12" x14ac:dyDescent="0.2">
      <c r="B635" s="6" t="s">
        <v>174</v>
      </c>
      <c r="C635" s="9" t="s">
        <v>20</v>
      </c>
      <c r="D635" s="22">
        <v>42866</v>
      </c>
      <c r="E635" s="9">
        <v>0</v>
      </c>
      <c r="F635" s="9">
        <v>0</v>
      </c>
      <c r="G635" s="9">
        <v>1</v>
      </c>
      <c r="H635" s="9">
        <v>0</v>
      </c>
      <c r="I635" s="9">
        <v>1</v>
      </c>
      <c r="J635" s="9">
        <v>0</v>
      </c>
      <c r="K635" s="55"/>
      <c r="L635" s="24"/>
    </row>
    <row r="636" spans="2:12" x14ac:dyDescent="0.2">
      <c r="B636" s="6" t="s">
        <v>755</v>
      </c>
      <c r="C636" s="9" t="s">
        <v>20</v>
      </c>
      <c r="D636" s="22">
        <v>42853</v>
      </c>
      <c r="E636" s="9">
        <v>0</v>
      </c>
      <c r="F636" s="9">
        <v>0</v>
      </c>
      <c r="G636" s="9">
        <v>1</v>
      </c>
      <c r="H636" s="9">
        <v>0</v>
      </c>
      <c r="I636" s="9">
        <v>1</v>
      </c>
      <c r="J636" s="9">
        <v>0</v>
      </c>
      <c r="K636" s="55"/>
      <c r="L636" s="24"/>
    </row>
    <row r="637" spans="2:12" x14ac:dyDescent="0.2">
      <c r="B637" s="6" t="s">
        <v>334</v>
      </c>
      <c r="C637" s="9" t="s">
        <v>31</v>
      </c>
      <c r="D637" s="22">
        <v>42838</v>
      </c>
      <c r="E637" s="9">
        <v>0</v>
      </c>
      <c r="F637" s="9">
        <v>0</v>
      </c>
      <c r="G637" s="9">
        <v>1</v>
      </c>
      <c r="H637" s="9">
        <v>0</v>
      </c>
      <c r="I637" s="9">
        <v>1</v>
      </c>
      <c r="J637" s="9">
        <v>0</v>
      </c>
      <c r="K637" s="55"/>
      <c r="L637" s="24"/>
    </row>
    <row r="638" spans="2:12" x14ac:dyDescent="0.2">
      <c r="B638" s="6" t="s">
        <v>983</v>
      </c>
      <c r="C638" s="9" t="s">
        <v>20</v>
      </c>
      <c r="D638" s="22">
        <v>42884</v>
      </c>
      <c r="E638" s="9">
        <v>0</v>
      </c>
      <c r="F638" s="9">
        <v>0</v>
      </c>
      <c r="G638" s="9">
        <v>1</v>
      </c>
      <c r="H638" s="9">
        <v>0</v>
      </c>
      <c r="I638" s="9">
        <v>1</v>
      </c>
      <c r="J638" s="9">
        <v>0</v>
      </c>
      <c r="K638" s="55"/>
      <c r="L638" s="24"/>
    </row>
    <row r="639" spans="2:12" x14ac:dyDescent="0.2">
      <c r="B639" s="6" t="s">
        <v>624</v>
      </c>
      <c r="C639" s="9" t="s">
        <v>31</v>
      </c>
      <c r="D639" s="22">
        <v>42910</v>
      </c>
      <c r="E639" s="9">
        <v>0</v>
      </c>
      <c r="F639" s="9">
        <v>0</v>
      </c>
      <c r="G639" s="9">
        <v>1</v>
      </c>
      <c r="H639" s="9">
        <v>0</v>
      </c>
      <c r="I639" s="9">
        <v>1</v>
      </c>
      <c r="J639" s="9">
        <v>0</v>
      </c>
      <c r="K639" s="55"/>
      <c r="L639" s="24"/>
    </row>
    <row r="640" spans="2:12" x14ac:dyDescent="0.2">
      <c r="B640" s="6" t="s">
        <v>529</v>
      </c>
      <c r="C640" s="9" t="s">
        <v>31</v>
      </c>
      <c r="D640" s="22">
        <v>42913</v>
      </c>
      <c r="E640" s="9">
        <v>0</v>
      </c>
      <c r="F640" s="9">
        <v>0</v>
      </c>
      <c r="G640" s="9">
        <v>1</v>
      </c>
      <c r="H640" s="9">
        <v>0</v>
      </c>
      <c r="I640" s="9">
        <v>1</v>
      </c>
      <c r="J640" s="9">
        <v>0</v>
      </c>
      <c r="K640" s="55"/>
      <c r="L640" s="24"/>
    </row>
    <row r="641" spans="2:12" x14ac:dyDescent="0.2">
      <c r="B641" s="6" t="s">
        <v>389</v>
      </c>
      <c r="C641" s="9" t="s">
        <v>20</v>
      </c>
      <c r="D641" s="22">
        <v>42833</v>
      </c>
      <c r="E641" s="9">
        <v>0</v>
      </c>
      <c r="F641" s="9">
        <v>0</v>
      </c>
      <c r="G641" s="9">
        <v>1</v>
      </c>
      <c r="H641" s="9">
        <v>0</v>
      </c>
      <c r="I641" s="9">
        <v>1</v>
      </c>
      <c r="J641" s="9">
        <v>0</v>
      </c>
      <c r="K641" s="55"/>
      <c r="L641" s="24"/>
    </row>
    <row r="642" spans="2:12" x14ac:dyDescent="0.2">
      <c r="B642" s="6" t="s">
        <v>184</v>
      </c>
      <c r="C642" s="9" t="s">
        <v>31</v>
      </c>
      <c r="D642" s="22">
        <v>42827</v>
      </c>
      <c r="E642" s="9">
        <v>0</v>
      </c>
      <c r="F642" s="9">
        <v>0</v>
      </c>
      <c r="G642" s="9">
        <v>1</v>
      </c>
      <c r="H642" s="9">
        <v>0</v>
      </c>
      <c r="I642" s="9">
        <v>1</v>
      </c>
      <c r="J642" s="9">
        <v>0</v>
      </c>
      <c r="K642" s="55"/>
      <c r="L642" s="24"/>
    </row>
    <row r="643" spans="2:12" x14ac:dyDescent="0.2">
      <c r="B643" s="6" t="s">
        <v>157</v>
      </c>
      <c r="C643" s="9" t="s">
        <v>31</v>
      </c>
      <c r="D643" s="22">
        <v>42831</v>
      </c>
      <c r="E643" s="9">
        <v>0</v>
      </c>
      <c r="F643" s="9">
        <v>0</v>
      </c>
      <c r="G643" s="9">
        <v>1</v>
      </c>
      <c r="H643" s="9">
        <v>0</v>
      </c>
      <c r="I643" s="9">
        <v>1</v>
      </c>
      <c r="J643" s="9">
        <v>0</v>
      </c>
      <c r="K643" s="55"/>
      <c r="L643" s="24"/>
    </row>
    <row r="644" spans="2:12" x14ac:dyDescent="0.2">
      <c r="B644" s="6" t="s">
        <v>984</v>
      </c>
      <c r="C644" s="9" t="s">
        <v>31</v>
      </c>
      <c r="D644" s="22">
        <v>42856</v>
      </c>
      <c r="E644" s="9">
        <v>0</v>
      </c>
      <c r="F644" s="9">
        <v>0</v>
      </c>
      <c r="G644" s="9">
        <v>1</v>
      </c>
      <c r="H644" s="9">
        <v>0</v>
      </c>
      <c r="I644" s="9">
        <v>1</v>
      </c>
      <c r="J644" s="9">
        <v>0</v>
      </c>
      <c r="K644" s="55"/>
      <c r="L644" s="24"/>
    </row>
    <row r="645" spans="2:12" x14ac:dyDescent="0.2">
      <c r="B645" s="6" t="s">
        <v>985</v>
      </c>
      <c r="C645" s="9" t="s">
        <v>20</v>
      </c>
      <c r="D645" s="22">
        <v>42841</v>
      </c>
      <c r="E645" s="9">
        <v>0</v>
      </c>
      <c r="F645" s="9">
        <v>0</v>
      </c>
      <c r="G645" s="9">
        <v>1</v>
      </c>
      <c r="H645" s="9">
        <v>0</v>
      </c>
      <c r="I645" s="9">
        <v>1</v>
      </c>
      <c r="J645" s="9">
        <v>0</v>
      </c>
      <c r="K645" s="55"/>
      <c r="L645" s="24"/>
    </row>
    <row r="646" spans="2:12" x14ac:dyDescent="0.2">
      <c r="B646" s="6" t="s">
        <v>986</v>
      </c>
      <c r="C646" s="9" t="s">
        <v>20</v>
      </c>
      <c r="D646" s="22">
        <v>42858</v>
      </c>
      <c r="E646" s="9">
        <v>0</v>
      </c>
      <c r="F646" s="9">
        <v>0</v>
      </c>
      <c r="G646" s="9">
        <v>1</v>
      </c>
      <c r="H646" s="9">
        <v>0</v>
      </c>
      <c r="I646" s="9">
        <v>1</v>
      </c>
      <c r="J646" s="9">
        <v>0</v>
      </c>
      <c r="K646" s="55"/>
      <c r="L646" s="24"/>
    </row>
    <row r="647" spans="2:12" x14ac:dyDescent="0.2">
      <c r="B647" s="6" t="s">
        <v>987</v>
      </c>
      <c r="C647" s="9" t="s">
        <v>31</v>
      </c>
      <c r="D647" s="22">
        <v>42859</v>
      </c>
      <c r="E647" s="9">
        <v>0</v>
      </c>
      <c r="F647" s="9">
        <v>0</v>
      </c>
      <c r="G647" s="9">
        <v>1</v>
      </c>
      <c r="H647" s="9">
        <v>0</v>
      </c>
      <c r="I647" s="9">
        <v>1</v>
      </c>
      <c r="J647" s="9">
        <v>0</v>
      </c>
      <c r="K647" s="55"/>
      <c r="L647" s="24"/>
    </row>
    <row r="648" spans="2:12" x14ac:dyDescent="0.2">
      <c r="B648" s="6" t="s">
        <v>988</v>
      </c>
      <c r="C648" s="9" t="s">
        <v>31</v>
      </c>
      <c r="D648" s="22">
        <v>42905</v>
      </c>
      <c r="E648" s="9">
        <v>0</v>
      </c>
      <c r="F648" s="9">
        <v>0</v>
      </c>
      <c r="G648" s="9">
        <v>1</v>
      </c>
      <c r="H648" s="9">
        <v>0</v>
      </c>
      <c r="I648" s="9">
        <v>1</v>
      </c>
      <c r="J648" s="9">
        <v>0</v>
      </c>
      <c r="K648" s="55"/>
      <c r="L648" s="24"/>
    </row>
    <row r="649" spans="2:12" x14ac:dyDescent="0.2">
      <c r="B649" s="6" t="s">
        <v>989</v>
      </c>
      <c r="C649" s="9" t="s">
        <v>20</v>
      </c>
      <c r="D649" s="22">
        <v>42828</v>
      </c>
      <c r="E649" s="9">
        <v>0</v>
      </c>
      <c r="F649" s="9">
        <v>0</v>
      </c>
      <c r="G649" s="9">
        <v>1</v>
      </c>
      <c r="H649" s="9">
        <v>0</v>
      </c>
      <c r="I649" s="9">
        <v>1</v>
      </c>
      <c r="J649" s="9">
        <v>0</v>
      </c>
      <c r="K649" s="55"/>
      <c r="L649" s="24"/>
    </row>
    <row r="650" spans="2:12" x14ac:dyDescent="0.2">
      <c r="B650" s="6" t="s">
        <v>990</v>
      </c>
      <c r="C650" s="9" t="s">
        <v>20</v>
      </c>
      <c r="D650" s="22">
        <v>42831</v>
      </c>
      <c r="E650" s="9">
        <v>0</v>
      </c>
      <c r="F650" s="9">
        <v>0</v>
      </c>
      <c r="G650" s="9">
        <v>1</v>
      </c>
      <c r="H650" s="9">
        <v>0</v>
      </c>
      <c r="I650" s="9">
        <v>1</v>
      </c>
      <c r="J650" s="9">
        <v>0</v>
      </c>
      <c r="K650" s="55"/>
      <c r="L650" s="24"/>
    </row>
    <row r="651" spans="2:12" x14ac:dyDescent="0.2">
      <c r="B651" s="6" t="s">
        <v>991</v>
      </c>
      <c r="C651" s="9" t="s">
        <v>20</v>
      </c>
      <c r="D651" s="22">
        <v>42913</v>
      </c>
      <c r="E651" s="9">
        <v>0</v>
      </c>
      <c r="F651" s="9">
        <v>0</v>
      </c>
      <c r="G651" s="9">
        <v>1</v>
      </c>
      <c r="H651" s="9">
        <v>0</v>
      </c>
      <c r="I651" s="9">
        <v>1</v>
      </c>
      <c r="J651" s="9">
        <v>0</v>
      </c>
      <c r="K651" s="55"/>
      <c r="L651" s="24"/>
    </row>
    <row r="652" spans="2:12" x14ac:dyDescent="0.2">
      <c r="B652" s="6" t="s">
        <v>992</v>
      </c>
      <c r="C652" s="9" t="s">
        <v>20</v>
      </c>
      <c r="D652" s="22">
        <v>42870</v>
      </c>
      <c r="E652" s="9">
        <v>0</v>
      </c>
      <c r="F652" s="9">
        <v>0</v>
      </c>
      <c r="G652" s="9">
        <v>1</v>
      </c>
      <c r="H652" s="9">
        <v>0</v>
      </c>
      <c r="I652" s="9">
        <v>1</v>
      </c>
      <c r="J652" s="9">
        <v>0</v>
      </c>
      <c r="K652" s="55"/>
      <c r="L652" s="24"/>
    </row>
    <row r="653" spans="2:12" x14ac:dyDescent="0.2">
      <c r="B653" s="6" t="s">
        <v>993</v>
      </c>
      <c r="C653" s="9" t="s">
        <v>20</v>
      </c>
      <c r="D653" s="22">
        <v>42897</v>
      </c>
      <c r="E653" s="9">
        <v>0</v>
      </c>
      <c r="F653" s="9">
        <v>0</v>
      </c>
      <c r="G653" s="9">
        <v>1</v>
      </c>
      <c r="H653" s="9">
        <v>0</v>
      </c>
      <c r="I653" s="9">
        <v>1</v>
      </c>
      <c r="J653" s="9">
        <v>0</v>
      </c>
      <c r="K653" s="55"/>
      <c r="L653" s="24"/>
    </row>
    <row r="654" spans="2:12" x14ac:dyDescent="0.2">
      <c r="B654" s="6" t="s">
        <v>994</v>
      </c>
      <c r="C654" s="9" t="s">
        <v>20</v>
      </c>
      <c r="D654" s="22">
        <v>42904</v>
      </c>
      <c r="E654" s="9">
        <v>0</v>
      </c>
      <c r="F654" s="9">
        <v>0</v>
      </c>
      <c r="G654" s="9">
        <v>1</v>
      </c>
      <c r="H654" s="9">
        <v>0</v>
      </c>
      <c r="I654" s="9">
        <v>1</v>
      </c>
      <c r="J654" s="9">
        <v>0</v>
      </c>
      <c r="K654" s="55"/>
      <c r="L654" s="24"/>
    </row>
    <row r="655" spans="2:12" x14ac:dyDescent="0.2">
      <c r="B655" s="6" t="s">
        <v>995</v>
      </c>
      <c r="C655" s="9" t="s">
        <v>31</v>
      </c>
      <c r="D655" s="22">
        <v>42827</v>
      </c>
      <c r="E655" s="9">
        <v>0</v>
      </c>
      <c r="F655" s="9">
        <v>0</v>
      </c>
      <c r="G655" s="9">
        <v>1</v>
      </c>
      <c r="H655" s="9">
        <v>0</v>
      </c>
      <c r="I655" s="9">
        <v>1</v>
      </c>
      <c r="J655" s="9">
        <v>0</v>
      </c>
      <c r="K655" s="55"/>
      <c r="L655" s="24"/>
    </row>
    <row r="656" spans="2:12" x14ac:dyDescent="0.2">
      <c r="B656" s="6" t="s">
        <v>721</v>
      </c>
      <c r="C656" s="9" t="s">
        <v>20</v>
      </c>
      <c r="D656" s="22">
        <v>42892</v>
      </c>
      <c r="E656" s="9">
        <v>0</v>
      </c>
      <c r="F656" s="9">
        <v>0</v>
      </c>
      <c r="G656" s="9">
        <v>1</v>
      </c>
      <c r="H656" s="9">
        <v>0</v>
      </c>
      <c r="I656" s="9">
        <v>1</v>
      </c>
      <c r="J656" s="9">
        <v>0</v>
      </c>
      <c r="K656" s="55"/>
      <c r="L656" s="24"/>
    </row>
    <row r="657" spans="2:12" x14ac:dyDescent="0.2">
      <c r="B657" s="6" t="s">
        <v>139</v>
      </c>
      <c r="C657" s="9" t="s">
        <v>20</v>
      </c>
      <c r="D657" s="22">
        <v>42902</v>
      </c>
      <c r="E657" s="9">
        <v>0</v>
      </c>
      <c r="F657" s="9">
        <v>0</v>
      </c>
      <c r="G657" s="9">
        <v>1</v>
      </c>
      <c r="H657" s="9">
        <v>0</v>
      </c>
      <c r="I657" s="9">
        <v>1</v>
      </c>
      <c r="J657" s="9">
        <v>0</v>
      </c>
      <c r="K657" s="55"/>
      <c r="L657" s="24"/>
    </row>
    <row r="658" spans="2:12" x14ac:dyDescent="0.2">
      <c r="B658" s="6" t="s">
        <v>713</v>
      </c>
      <c r="C658" s="9" t="s">
        <v>20</v>
      </c>
      <c r="D658" s="22">
        <v>42893</v>
      </c>
      <c r="E658" s="9">
        <v>0</v>
      </c>
      <c r="F658" s="9">
        <v>0</v>
      </c>
      <c r="G658" s="9">
        <v>1</v>
      </c>
      <c r="H658" s="9">
        <v>0</v>
      </c>
      <c r="I658" s="9">
        <v>1</v>
      </c>
      <c r="J658" s="9">
        <v>0</v>
      </c>
      <c r="K658" s="55"/>
      <c r="L658" s="24"/>
    </row>
    <row r="659" spans="2:12" x14ac:dyDescent="0.2">
      <c r="B659" s="6" t="s">
        <v>372</v>
      </c>
      <c r="C659" s="9" t="s">
        <v>31</v>
      </c>
      <c r="D659" s="22">
        <v>42871</v>
      </c>
      <c r="E659" s="9">
        <v>0</v>
      </c>
      <c r="F659" s="9">
        <v>0</v>
      </c>
      <c r="G659" s="9">
        <v>1</v>
      </c>
      <c r="H659" s="9">
        <v>0</v>
      </c>
      <c r="I659" s="9">
        <v>1</v>
      </c>
      <c r="J659" s="9">
        <v>0</v>
      </c>
      <c r="K659" s="55"/>
      <c r="L659" s="24"/>
    </row>
    <row r="660" spans="2:12" x14ac:dyDescent="0.2">
      <c r="B660" s="6" t="s">
        <v>375</v>
      </c>
      <c r="C660" s="9" t="s">
        <v>20</v>
      </c>
      <c r="D660" s="22">
        <v>42853</v>
      </c>
      <c r="E660" s="9">
        <v>0</v>
      </c>
      <c r="F660" s="9">
        <v>0</v>
      </c>
      <c r="G660" s="9">
        <v>1</v>
      </c>
      <c r="H660" s="9">
        <v>0</v>
      </c>
      <c r="I660" s="9">
        <v>1</v>
      </c>
      <c r="J660" s="9">
        <v>0</v>
      </c>
      <c r="K660" s="55"/>
      <c r="L660" s="24"/>
    </row>
    <row r="661" spans="2:12" x14ac:dyDescent="0.2">
      <c r="B661" s="6" t="s">
        <v>464</v>
      </c>
      <c r="C661" s="9" t="s">
        <v>20</v>
      </c>
      <c r="D661" s="22">
        <v>42826</v>
      </c>
      <c r="E661" s="9">
        <v>0</v>
      </c>
      <c r="F661" s="9">
        <v>0</v>
      </c>
      <c r="G661" s="9">
        <v>1</v>
      </c>
      <c r="H661" s="9">
        <v>0</v>
      </c>
      <c r="I661" s="9">
        <v>1</v>
      </c>
      <c r="J661" s="9">
        <v>0</v>
      </c>
      <c r="K661" s="55"/>
      <c r="L661" s="24"/>
    </row>
    <row r="662" spans="2:12" x14ac:dyDescent="0.2">
      <c r="B662" s="6" t="s">
        <v>366</v>
      </c>
      <c r="C662" s="9" t="s">
        <v>20</v>
      </c>
      <c r="D662" s="22">
        <v>42828</v>
      </c>
      <c r="E662" s="9">
        <v>0</v>
      </c>
      <c r="F662" s="9">
        <v>0</v>
      </c>
      <c r="G662" s="9">
        <v>1</v>
      </c>
      <c r="H662" s="9">
        <v>0</v>
      </c>
      <c r="I662" s="9">
        <v>1</v>
      </c>
      <c r="J662" s="9">
        <v>0</v>
      </c>
      <c r="K662" s="55"/>
      <c r="L662" s="24"/>
    </row>
    <row r="663" spans="2:12" x14ac:dyDescent="0.2">
      <c r="B663" s="6" t="s">
        <v>296</v>
      </c>
      <c r="C663" s="9" t="s">
        <v>20</v>
      </c>
      <c r="D663" s="22">
        <v>42848</v>
      </c>
      <c r="E663" s="9">
        <v>0</v>
      </c>
      <c r="F663" s="9">
        <v>0</v>
      </c>
      <c r="G663" s="9">
        <v>1</v>
      </c>
      <c r="H663" s="9">
        <v>0</v>
      </c>
      <c r="I663" s="9">
        <v>1</v>
      </c>
      <c r="J663" s="9">
        <v>0</v>
      </c>
      <c r="K663" s="55"/>
      <c r="L663" s="24"/>
    </row>
    <row r="664" spans="2:12" x14ac:dyDescent="0.2">
      <c r="B664" s="6" t="s">
        <v>776</v>
      </c>
      <c r="C664" s="9" t="s">
        <v>31</v>
      </c>
      <c r="D664" s="22">
        <v>42857</v>
      </c>
      <c r="E664" s="9">
        <v>0</v>
      </c>
      <c r="F664" s="9">
        <v>0</v>
      </c>
      <c r="G664" s="9">
        <v>1</v>
      </c>
      <c r="H664" s="9">
        <v>0</v>
      </c>
      <c r="I664" s="9">
        <v>1</v>
      </c>
      <c r="J664" s="9">
        <v>0</v>
      </c>
      <c r="K664" s="55"/>
      <c r="L664" s="24"/>
    </row>
    <row r="665" spans="2:12" x14ac:dyDescent="0.2">
      <c r="B665" s="6" t="s">
        <v>736</v>
      </c>
      <c r="C665" s="9" t="s">
        <v>31</v>
      </c>
      <c r="D665" s="22">
        <v>42826</v>
      </c>
      <c r="E665" s="9">
        <v>0</v>
      </c>
      <c r="F665" s="9">
        <v>0</v>
      </c>
      <c r="G665" s="9">
        <v>1</v>
      </c>
      <c r="H665" s="9">
        <v>0</v>
      </c>
      <c r="I665" s="9">
        <v>1</v>
      </c>
      <c r="J665" s="9">
        <v>0</v>
      </c>
      <c r="K665" s="55"/>
      <c r="L665" s="24"/>
    </row>
    <row r="666" spans="2:12" x14ac:dyDescent="0.2">
      <c r="B666" s="6" t="s">
        <v>698</v>
      </c>
      <c r="C666" s="9" t="s">
        <v>31</v>
      </c>
      <c r="D666" s="22">
        <v>42886</v>
      </c>
      <c r="E666" s="9">
        <v>0</v>
      </c>
      <c r="F666" s="9">
        <v>0</v>
      </c>
      <c r="G666" s="9">
        <v>1</v>
      </c>
      <c r="H666" s="9">
        <v>0</v>
      </c>
      <c r="I666" s="9">
        <v>1</v>
      </c>
      <c r="J666" s="9">
        <v>0</v>
      </c>
      <c r="K666" s="55"/>
      <c r="L666" s="24"/>
    </row>
    <row r="667" spans="2:12" x14ac:dyDescent="0.2">
      <c r="B667" s="6" t="s">
        <v>269</v>
      </c>
      <c r="C667" s="9" t="s">
        <v>31</v>
      </c>
      <c r="D667" s="22">
        <v>42905</v>
      </c>
      <c r="E667" s="9">
        <v>0</v>
      </c>
      <c r="F667" s="9">
        <v>0</v>
      </c>
      <c r="G667" s="9">
        <v>1</v>
      </c>
      <c r="H667" s="9">
        <v>0</v>
      </c>
      <c r="I667" s="9">
        <v>1</v>
      </c>
      <c r="J667" s="9">
        <v>0</v>
      </c>
      <c r="K667" s="55"/>
      <c r="L667" s="24"/>
    </row>
    <row r="668" spans="2:12" x14ac:dyDescent="0.2">
      <c r="B668" s="6" t="s">
        <v>249</v>
      </c>
      <c r="C668" s="9" t="s">
        <v>20</v>
      </c>
      <c r="D668" s="22">
        <v>42826</v>
      </c>
      <c r="E668" s="9">
        <v>0</v>
      </c>
      <c r="F668" s="9">
        <v>0</v>
      </c>
      <c r="G668" s="9">
        <v>1</v>
      </c>
      <c r="H668" s="9">
        <v>0</v>
      </c>
      <c r="I668" s="9">
        <v>1</v>
      </c>
      <c r="J668" s="9">
        <v>0</v>
      </c>
      <c r="K668" s="55"/>
      <c r="L668" s="24"/>
    </row>
    <row r="669" spans="2:12" x14ac:dyDescent="0.2">
      <c r="B669" s="6" t="s">
        <v>433</v>
      </c>
      <c r="C669" s="9" t="s">
        <v>31</v>
      </c>
      <c r="D669" s="22">
        <v>42868</v>
      </c>
      <c r="E669" s="9">
        <v>0</v>
      </c>
      <c r="F669" s="9">
        <v>0</v>
      </c>
      <c r="G669" s="9">
        <v>1</v>
      </c>
      <c r="H669" s="9">
        <v>0</v>
      </c>
      <c r="I669" s="9">
        <v>1</v>
      </c>
      <c r="J669" s="9">
        <v>0</v>
      </c>
      <c r="K669" s="55"/>
      <c r="L669" s="24"/>
    </row>
    <row r="670" spans="2:12" x14ac:dyDescent="0.2">
      <c r="B670" s="6" t="s">
        <v>728</v>
      </c>
      <c r="C670" s="9" t="s">
        <v>20</v>
      </c>
      <c r="D670" s="22">
        <v>42896</v>
      </c>
      <c r="E670" s="9">
        <v>0</v>
      </c>
      <c r="F670" s="9">
        <v>0</v>
      </c>
      <c r="G670" s="9">
        <v>1</v>
      </c>
      <c r="H670" s="9">
        <v>0</v>
      </c>
      <c r="I670" s="9">
        <v>1</v>
      </c>
      <c r="J670" s="9">
        <v>0</v>
      </c>
      <c r="K670" s="55"/>
      <c r="L670" s="24"/>
    </row>
    <row r="671" spans="2:12" x14ac:dyDescent="0.2">
      <c r="B671" s="6" t="s">
        <v>295</v>
      </c>
      <c r="C671" s="9" t="s">
        <v>20</v>
      </c>
      <c r="D671" s="22">
        <v>42904</v>
      </c>
      <c r="E671" s="9">
        <v>0</v>
      </c>
      <c r="F671" s="9">
        <v>0</v>
      </c>
      <c r="G671" s="9">
        <v>1</v>
      </c>
      <c r="H671" s="9">
        <v>0</v>
      </c>
      <c r="I671" s="9">
        <v>1</v>
      </c>
      <c r="J671" s="9">
        <v>0</v>
      </c>
      <c r="K671" s="55"/>
      <c r="L671" s="24"/>
    </row>
    <row r="672" spans="2:12" x14ac:dyDescent="0.2">
      <c r="B672" s="6" t="s">
        <v>353</v>
      </c>
      <c r="C672" s="9" t="s">
        <v>20</v>
      </c>
      <c r="D672" s="22">
        <v>42883</v>
      </c>
      <c r="E672" s="9">
        <v>0</v>
      </c>
      <c r="F672" s="9">
        <v>0</v>
      </c>
      <c r="G672" s="9">
        <v>1</v>
      </c>
      <c r="H672" s="9">
        <v>0</v>
      </c>
      <c r="I672" s="9">
        <v>1</v>
      </c>
      <c r="J672" s="9">
        <v>0</v>
      </c>
      <c r="K672" s="55"/>
      <c r="L672" s="24"/>
    </row>
    <row r="673" spans="2:12" x14ac:dyDescent="0.2">
      <c r="B673" s="6" t="s">
        <v>424</v>
      </c>
      <c r="C673" s="9" t="s">
        <v>20</v>
      </c>
      <c r="D673" s="22">
        <v>42883</v>
      </c>
      <c r="E673" s="9">
        <v>0</v>
      </c>
      <c r="F673" s="9">
        <v>0</v>
      </c>
      <c r="G673" s="9">
        <v>1</v>
      </c>
      <c r="H673" s="9">
        <v>0</v>
      </c>
      <c r="I673" s="9">
        <v>1</v>
      </c>
      <c r="J673" s="9">
        <v>0</v>
      </c>
      <c r="K673" s="55"/>
      <c r="L673" s="24"/>
    </row>
    <row r="674" spans="2:12" x14ac:dyDescent="0.2">
      <c r="B674" s="6" t="s">
        <v>467</v>
      </c>
      <c r="C674" s="9" t="s">
        <v>31</v>
      </c>
      <c r="D674" s="22">
        <v>42863</v>
      </c>
      <c r="E674" s="9">
        <v>0</v>
      </c>
      <c r="F674" s="9">
        <v>0</v>
      </c>
      <c r="G674" s="9">
        <v>1</v>
      </c>
      <c r="H674" s="9">
        <v>0</v>
      </c>
      <c r="I674" s="9">
        <v>1</v>
      </c>
      <c r="J674" s="9">
        <v>0</v>
      </c>
      <c r="K674" s="55"/>
      <c r="L674" s="24"/>
    </row>
    <row r="675" spans="2:12" x14ac:dyDescent="0.2">
      <c r="B675" s="6" t="s">
        <v>349</v>
      </c>
      <c r="C675" s="9" t="s">
        <v>20</v>
      </c>
      <c r="D675" s="22">
        <v>42835</v>
      </c>
      <c r="E675" s="9">
        <v>0</v>
      </c>
      <c r="F675" s="9">
        <v>0</v>
      </c>
      <c r="G675" s="9">
        <v>1</v>
      </c>
      <c r="H675" s="9">
        <v>0</v>
      </c>
      <c r="I675" s="9">
        <v>1</v>
      </c>
      <c r="J675" s="9">
        <v>0</v>
      </c>
      <c r="K675" s="55"/>
      <c r="L675" s="24"/>
    </row>
    <row r="676" spans="2:12" x14ac:dyDescent="0.2">
      <c r="B676" s="6" t="s">
        <v>670</v>
      </c>
      <c r="C676" s="9" t="s">
        <v>20</v>
      </c>
      <c r="D676" s="22">
        <v>42837</v>
      </c>
      <c r="E676" s="9">
        <v>0</v>
      </c>
      <c r="F676" s="9">
        <v>0</v>
      </c>
      <c r="G676" s="9">
        <v>1</v>
      </c>
      <c r="H676" s="9">
        <v>0</v>
      </c>
      <c r="I676" s="9">
        <v>1</v>
      </c>
      <c r="J676" s="9">
        <v>0</v>
      </c>
      <c r="K676" s="55"/>
      <c r="L676" s="24"/>
    </row>
    <row r="677" spans="2:12" x14ac:dyDescent="0.2">
      <c r="B677" s="6" t="s">
        <v>645</v>
      </c>
      <c r="C677" s="9" t="s">
        <v>31</v>
      </c>
      <c r="D677" s="22">
        <v>42914</v>
      </c>
      <c r="E677" s="9">
        <v>0</v>
      </c>
      <c r="F677" s="9">
        <v>0</v>
      </c>
      <c r="G677" s="9">
        <v>1</v>
      </c>
      <c r="H677" s="9">
        <v>0</v>
      </c>
      <c r="I677" s="9">
        <v>1</v>
      </c>
      <c r="J677" s="9">
        <v>0</v>
      </c>
      <c r="K677" s="55"/>
      <c r="L677" s="24"/>
    </row>
    <row r="678" spans="2:12" x14ac:dyDescent="0.2">
      <c r="B678" s="6" t="s">
        <v>289</v>
      </c>
      <c r="C678" s="9" t="s">
        <v>20</v>
      </c>
      <c r="D678" s="22">
        <v>42910</v>
      </c>
      <c r="E678" s="9">
        <v>0</v>
      </c>
      <c r="F678" s="9">
        <v>0</v>
      </c>
      <c r="G678" s="9">
        <v>1</v>
      </c>
      <c r="H678" s="9">
        <v>0</v>
      </c>
      <c r="I678" s="9">
        <v>1</v>
      </c>
      <c r="J678" s="9">
        <v>0</v>
      </c>
      <c r="K678" s="55"/>
      <c r="L678" s="24"/>
    </row>
    <row r="679" spans="2:12" x14ac:dyDescent="0.2">
      <c r="B679" s="6" t="s">
        <v>306</v>
      </c>
      <c r="C679" s="9" t="s">
        <v>20</v>
      </c>
      <c r="D679" s="22">
        <v>42907</v>
      </c>
      <c r="E679" s="9">
        <v>0</v>
      </c>
      <c r="F679" s="9">
        <v>0</v>
      </c>
      <c r="G679" s="9">
        <v>1</v>
      </c>
      <c r="H679" s="9">
        <v>0</v>
      </c>
      <c r="I679" s="9">
        <v>1</v>
      </c>
      <c r="J679" s="9">
        <v>0</v>
      </c>
      <c r="K679" s="55"/>
      <c r="L679" s="24"/>
    </row>
    <row r="680" spans="2:12" x14ac:dyDescent="0.2">
      <c r="B680" s="6" t="s">
        <v>996</v>
      </c>
      <c r="C680" s="9" t="s">
        <v>31</v>
      </c>
      <c r="D680" s="22">
        <v>42896</v>
      </c>
      <c r="E680" s="9">
        <v>0</v>
      </c>
      <c r="F680" s="9">
        <v>0</v>
      </c>
      <c r="G680" s="9">
        <v>1</v>
      </c>
      <c r="H680" s="9">
        <v>0</v>
      </c>
      <c r="I680" s="9">
        <v>1</v>
      </c>
      <c r="J680" s="9">
        <v>0</v>
      </c>
      <c r="K680" s="55"/>
      <c r="L680" s="24"/>
    </row>
    <row r="681" spans="2:12" x14ac:dyDescent="0.2">
      <c r="B681" s="6" t="s">
        <v>610</v>
      </c>
      <c r="C681" s="9" t="s">
        <v>20</v>
      </c>
      <c r="D681" s="22">
        <v>42895</v>
      </c>
      <c r="E681" s="9">
        <v>0</v>
      </c>
      <c r="F681" s="9">
        <v>0</v>
      </c>
      <c r="G681" s="9">
        <v>1</v>
      </c>
      <c r="H681" s="9">
        <v>0</v>
      </c>
      <c r="I681" s="9">
        <v>1</v>
      </c>
      <c r="J681" s="9">
        <v>0</v>
      </c>
      <c r="K681" s="55"/>
      <c r="L681" s="24"/>
    </row>
    <row r="682" spans="2:12" x14ac:dyDescent="0.2">
      <c r="B682" s="6" t="s">
        <v>997</v>
      </c>
      <c r="C682" s="9" t="s">
        <v>20</v>
      </c>
      <c r="D682" s="22">
        <v>42894</v>
      </c>
      <c r="E682" s="9">
        <v>0</v>
      </c>
      <c r="F682" s="9">
        <v>0</v>
      </c>
      <c r="G682" s="9">
        <v>1</v>
      </c>
      <c r="H682" s="9">
        <v>0</v>
      </c>
      <c r="I682" s="9">
        <v>1</v>
      </c>
      <c r="J682" s="9">
        <v>0</v>
      </c>
      <c r="K682" s="55"/>
      <c r="L682" s="24"/>
    </row>
    <row r="683" spans="2:12" x14ac:dyDescent="0.2">
      <c r="B683" s="6" t="s">
        <v>546</v>
      </c>
      <c r="C683" s="9" t="s">
        <v>31</v>
      </c>
      <c r="D683" s="22">
        <v>42913</v>
      </c>
      <c r="E683" s="9">
        <v>0</v>
      </c>
      <c r="F683" s="9">
        <v>0</v>
      </c>
      <c r="G683" s="9">
        <v>1</v>
      </c>
      <c r="H683" s="9">
        <v>0</v>
      </c>
      <c r="I683" s="9">
        <v>1</v>
      </c>
      <c r="J683" s="9">
        <v>0</v>
      </c>
      <c r="K683" s="55"/>
      <c r="L683" s="24"/>
    </row>
    <row r="684" spans="2:12" x14ac:dyDescent="0.2">
      <c r="B684" s="6" t="s">
        <v>87</v>
      </c>
      <c r="C684" s="9" t="s">
        <v>31</v>
      </c>
      <c r="D684" s="22">
        <v>42842</v>
      </c>
      <c r="E684" s="9">
        <v>0</v>
      </c>
      <c r="F684" s="9">
        <v>0</v>
      </c>
      <c r="G684" s="9">
        <v>1</v>
      </c>
      <c r="H684" s="9">
        <v>0</v>
      </c>
      <c r="I684" s="9">
        <v>1</v>
      </c>
      <c r="J684" s="9">
        <v>0</v>
      </c>
      <c r="K684" s="55"/>
      <c r="L684" s="24"/>
    </row>
    <row r="685" spans="2:12" x14ac:dyDescent="0.2">
      <c r="B685" s="6" t="s">
        <v>722</v>
      </c>
      <c r="C685" s="9" t="s">
        <v>20</v>
      </c>
      <c r="D685" s="22">
        <v>42833</v>
      </c>
      <c r="E685" s="9">
        <v>0</v>
      </c>
      <c r="F685" s="9">
        <v>0</v>
      </c>
      <c r="G685" s="9">
        <v>1</v>
      </c>
      <c r="H685" s="9">
        <v>0</v>
      </c>
      <c r="I685" s="9">
        <v>1</v>
      </c>
      <c r="J685" s="9">
        <v>0</v>
      </c>
      <c r="K685" s="55"/>
      <c r="L685" s="24"/>
    </row>
    <row r="686" spans="2:12" x14ac:dyDescent="0.2">
      <c r="B686" s="6" t="s">
        <v>68</v>
      </c>
      <c r="C686" s="9" t="s">
        <v>20</v>
      </c>
      <c r="D686" s="22">
        <v>42855</v>
      </c>
      <c r="E686" s="9">
        <v>0</v>
      </c>
      <c r="F686" s="9">
        <v>0</v>
      </c>
      <c r="G686" s="9">
        <v>1</v>
      </c>
      <c r="H686" s="9">
        <v>0</v>
      </c>
      <c r="I686" s="9">
        <v>1</v>
      </c>
      <c r="J686" s="9">
        <v>0</v>
      </c>
      <c r="K686" s="55"/>
      <c r="L686" s="24"/>
    </row>
    <row r="687" spans="2:12" x14ac:dyDescent="0.2">
      <c r="B687" s="6" t="s">
        <v>200</v>
      </c>
      <c r="C687" s="9" t="s">
        <v>31</v>
      </c>
      <c r="D687" s="22">
        <v>42881</v>
      </c>
      <c r="E687" s="9">
        <v>0</v>
      </c>
      <c r="F687" s="9">
        <v>0</v>
      </c>
      <c r="G687" s="9">
        <v>1</v>
      </c>
      <c r="H687" s="9">
        <v>0</v>
      </c>
      <c r="I687" s="9">
        <v>1</v>
      </c>
      <c r="J687" s="9">
        <v>0</v>
      </c>
      <c r="K687" s="55"/>
      <c r="L687" s="24"/>
    </row>
    <row r="688" spans="2:12" x14ac:dyDescent="0.2">
      <c r="B688" s="6" t="s">
        <v>526</v>
      </c>
      <c r="C688" s="9" t="s">
        <v>20</v>
      </c>
      <c r="D688" s="22">
        <v>42893</v>
      </c>
      <c r="E688" s="9">
        <v>0</v>
      </c>
      <c r="F688" s="9">
        <v>0</v>
      </c>
      <c r="G688" s="9">
        <v>1</v>
      </c>
      <c r="H688" s="9">
        <v>0</v>
      </c>
      <c r="I688" s="9">
        <v>1</v>
      </c>
      <c r="J688" s="9">
        <v>0</v>
      </c>
      <c r="K688" s="55"/>
      <c r="L688" s="24"/>
    </row>
    <row r="689" spans="2:12" x14ac:dyDescent="0.2">
      <c r="B689" s="6" t="s">
        <v>692</v>
      </c>
      <c r="C689" s="9" t="s">
        <v>20</v>
      </c>
      <c r="D689" s="22">
        <v>42910</v>
      </c>
      <c r="E689" s="9">
        <v>0</v>
      </c>
      <c r="F689" s="9">
        <v>0</v>
      </c>
      <c r="G689" s="9">
        <v>1</v>
      </c>
      <c r="H689" s="9">
        <v>0</v>
      </c>
      <c r="I689" s="9">
        <v>1</v>
      </c>
      <c r="J689" s="9">
        <v>0</v>
      </c>
      <c r="K689" s="55"/>
      <c r="L689" s="24"/>
    </row>
    <row r="690" spans="2:12" x14ac:dyDescent="0.2">
      <c r="B690" s="6" t="s">
        <v>415</v>
      </c>
      <c r="C690" s="9" t="s">
        <v>31</v>
      </c>
      <c r="D690" s="22">
        <v>42913</v>
      </c>
      <c r="E690" s="9">
        <v>0</v>
      </c>
      <c r="F690" s="9">
        <v>0</v>
      </c>
      <c r="G690" s="9">
        <v>1</v>
      </c>
      <c r="H690" s="9">
        <v>0</v>
      </c>
      <c r="I690" s="9">
        <v>1</v>
      </c>
      <c r="J690" s="9">
        <v>0</v>
      </c>
      <c r="K690" s="55"/>
      <c r="L690" s="24"/>
    </row>
    <row r="691" spans="2:12" x14ac:dyDescent="0.2">
      <c r="B691" s="6" t="s">
        <v>731</v>
      </c>
      <c r="C691" s="9" t="s">
        <v>20</v>
      </c>
      <c r="D691" s="22">
        <v>42865</v>
      </c>
      <c r="E691" s="9">
        <v>0</v>
      </c>
      <c r="F691" s="9">
        <v>0</v>
      </c>
      <c r="G691" s="9">
        <v>1</v>
      </c>
      <c r="H691" s="9">
        <v>0</v>
      </c>
      <c r="I691" s="9">
        <v>1</v>
      </c>
      <c r="J691" s="9">
        <v>0</v>
      </c>
      <c r="K691" s="55"/>
      <c r="L691" s="24"/>
    </row>
    <row r="692" spans="2:12" x14ac:dyDescent="0.2">
      <c r="B692" s="6" t="s">
        <v>617</v>
      </c>
      <c r="C692" s="9" t="s">
        <v>31</v>
      </c>
      <c r="D692" s="22">
        <v>42827</v>
      </c>
      <c r="E692" s="9">
        <v>0</v>
      </c>
      <c r="F692" s="9">
        <v>0</v>
      </c>
      <c r="G692" s="9">
        <v>1</v>
      </c>
      <c r="H692" s="9">
        <v>0</v>
      </c>
      <c r="I692" s="9">
        <v>1</v>
      </c>
      <c r="J692" s="9">
        <v>0</v>
      </c>
      <c r="K692" s="55"/>
      <c r="L692" s="24"/>
    </row>
    <row r="693" spans="2:12" x14ac:dyDescent="0.2">
      <c r="B693" s="6" t="s">
        <v>133</v>
      </c>
      <c r="C693" s="9" t="s">
        <v>31</v>
      </c>
      <c r="D693" s="22">
        <v>42853</v>
      </c>
      <c r="E693" s="9">
        <v>0</v>
      </c>
      <c r="F693" s="9">
        <v>0</v>
      </c>
      <c r="G693" s="9">
        <v>1</v>
      </c>
      <c r="H693" s="9">
        <v>0</v>
      </c>
      <c r="I693" s="9">
        <v>1</v>
      </c>
      <c r="J693" s="9">
        <v>0</v>
      </c>
      <c r="K693" s="55"/>
      <c r="L693" s="24"/>
    </row>
    <row r="694" spans="2:12" x14ac:dyDescent="0.2">
      <c r="B694" s="6" t="s">
        <v>371</v>
      </c>
      <c r="C694" s="9" t="s">
        <v>20</v>
      </c>
      <c r="D694" s="22">
        <v>42870</v>
      </c>
      <c r="E694" s="9">
        <v>0</v>
      </c>
      <c r="F694" s="9">
        <v>0</v>
      </c>
      <c r="G694" s="9">
        <v>1</v>
      </c>
      <c r="H694" s="9">
        <v>0</v>
      </c>
      <c r="I694" s="9">
        <v>1</v>
      </c>
      <c r="J694" s="9">
        <v>0</v>
      </c>
      <c r="K694" s="55"/>
      <c r="L694" s="24"/>
    </row>
    <row r="695" spans="2:12" x14ac:dyDescent="0.2">
      <c r="B695" s="6" t="s">
        <v>100</v>
      </c>
      <c r="C695" s="9" t="s">
        <v>31</v>
      </c>
      <c r="D695" s="22">
        <v>42857</v>
      </c>
      <c r="E695" s="9">
        <v>0</v>
      </c>
      <c r="F695" s="9">
        <v>0</v>
      </c>
      <c r="G695" s="9">
        <v>1</v>
      </c>
      <c r="H695" s="9">
        <v>0</v>
      </c>
      <c r="I695" s="9">
        <v>1</v>
      </c>
      <c r="J695" s="9">
        <v>0</v>
      </c>
      <c r="K695" s="55"/>
      <c r="L695" s="24"/>
    </row>
    <row r="696" spans="2:12" x14ac:dyDescent="0.2">
      <c r="B696" s="6" t="s">
        <v>284</v>
      </c>
      <c r="C696" s="9" t="s">
        <v>31</v>
      </c>
      <c r="D696" s="22">
        <v>42890</v>
      </c>
      <c r="E696" s="9">
        <v>0</v>
      </c>
      <c r="F696" s="9">
        <v>0</v>
      </c>
      <c r="G696" s="9">
        <v>1</v>
      </c>
      <c r="H696" s="9">
        <v>0</v>
      </c>
      <c r="I696" s="9">
        <v>1</v>
      </c>
      <c r="J696" s="9">
        <v>0</v>
      </c>
      <c r="K696" s="55"/>
      <c r="L696" s="24"/>
    </row>
    <row r="697" spans="2:12" x14ac:dyDescent="0.2">
      <c r="B697" s="6" t="s">
        <v>244</v>
      </c>
      <c r="C697" s="9" t="s">
        <v>20</v>
      </c>
      <c r="D697" s="22">
        <v>42907</v>
      </c>
      <c r="E697" s="9">
        <v>0</v>
      </c>
      <c r="F697" s="9">
        <v>0</v>
      </c>
      <c r="G697" s="9">
        <v>1</v>
      </c>
      <c r="H697" s="9">
        <v>0</v>
      </c>
      <c r="I697" s="9">
        <v>1</v>
      </c>
      <c r="J697" s="9">
        <v>0</v>
      </c>
      <c r="K697" s="55"/>
      <c r="L697" s="24"/>
    </row>
    <row r="698" spans="2:12" x14ac:dyDescent="0.2">
      <c r="B698" s="6" t="s">
        <v>437</v>
      </c>
      <c r="C698" s="9" t="s">
        <v>31</v>
      </c>
      <c r="D698" s="22">
        <v>42878</v>
      </c>
      <c r="E698" s="9">
        <v>0</v>
      </c>
      <c r="F698" s="9">
        <v>0</v>
      </c>
      <c r="G698" s="9">
        <v>1</v>
      </c>
      <c r="H698" s="9">
        <v>0</v>
      </c>
      <c r="I698" s="9">
        <v>1</v>
      </c>
      <c r="J698" s="9">
        <v>0</v>
      </c>
      <c r="K698" s="55"/>
      <c r="L698" s="24"/>
    </row>
    <row r="699" spans="2:12" x14ac:dyDescent="0.2">
      <c r="B699" s="6" t="s">
        <v>428</v>
      </c>
      <c r="C699" s="9" t="s">
        <v>20</v>
      </c>
      <c r="D699" s="22">
        <v>42856</v>
      </c>
      <c r="E699" s="9">
        <v>0</v>
      </c>
      <c r="F699" s="9">
        <v>0</v>
      </c>
      <c r="G699" s="9">
        <v>1</v>
      </c>
      <c r="H699" s="9">
        <v>0</v>
      </c>
      <c r="I699" s="9">
        <v>1</v>
      </c>
      <c r="J699" s="9">
        <v>0</v>
      </c>
      <c r="K699" s="55"/>
      <c r="L699" s="24"/>
    </row>
    <row r="700" spans="2:12" x14ac:dyDescent="0.2">
      <c r="B700" s="6" t="s">
        <v>763</v>
      </c>
      <c r="C700" s="9" t="s">
        <v>20</v>
      </c>
      <c r="D700" s="22">
        <v>42839</v>
      </c>
      <c r="E700" s="9">
        <v>0</v>
      </c>
      <c r="F700" s="9">
        <v>0</v>
      </c>
      <c r="G700" s="9">
        <v>1</v>
      </c>
      <c r="H700" s="9">
        <v>0</v>
      </c>
      <c r="I700" s="9">
        <v>1</v>
      </c>
      <c r="J700" s="9">
        <v>0</v>
      </c>
      <c r="K700" s="55"/>
      <c r="L700" s="24"/>
    </row>
    <row r="701" spans="2:12" x14ac:dyDescent="0.2">
      <c r="B701" s="6" t="s">
        <v>351</v>
      </c>
      <c r="C701" s="9" t="s">
        <v>31</v>
      </c>
      <c r="D701" s="22">
        <v>42833</v>
      </c>
      <c r="E701" s="9">
        <v>0</v>
      </c>
      <c r="F701" s="9">
        <v>0</v>
      </c>
      <c r="G701" s="9">
        <v>1</v>
      </c>
      <c r="H701" s="9">
        <v>0</v>
      </c>
      <c r="I701" s="9">
        <v>1</v>
      </c>
      <c r="J701" s="9">
        <v>0</v>
      </c>
      <c r="K701" s="55"/>
      <c r="L701" s="24"/>
    </row>
    <row r="702" spans="2:12" x14ac:dyDescent="0.2">
      <c r="B702" s="6" t="s">
        <v>747</v>
      </c>
      <c r="C702" s="9" t="s">
        <v>20</v>
      </c>
      <c r="D702" s="22">
        <v>42870</v>
      </c>
      <c r="E702" s="9">
        <v>0</v>
      </c>
      <c r="F702" s="9">
        <v>0</v>
      </c>
      <c r="G702" s="9">
        <v>1</v>
      </c>
      <c r="H702" s="9">
        <v>0</v>
      </c>
      <c r="I702" s="9">
        <v>1</v>
      </c>
      <c r="J702" s="9">
        <v>0</v>
      </c>
      <c r="K702" s="55"/>
      <c r="L702" s="24"/>
    </row>
    <row r="703" spans="2:12" x14ac:dyDescent="0.2">
      <c r="B703" s="6" t="s">
        <v>446</v>
      </c>
      <c r="C703" s="9" t="s">
        <v>20</v>
      </c>
      <c r="D703" s="22">
        <v>42848</v>
      </c>
      <c r="E703" s="9">
        <v>0</v>
      </c>
      <c r="F703" s="9">
        <v>0</v>
      </c>
      <c r="G703" s="9">
        <v>1</v>
      </c>
      <c r="H703" s="9">
        <v>0</v>
      </c>
      <c r="I703" s="9">
        <v>1</v>
      </c>
      <c r="J703" s="9">
        <v>0</v>
      </c>
      <c r="K703" s="55"/>
      <c r="L703" s="24"/>
    </row>
    <row r="704" spans="2:12" x14ac:dyDescent="0.2">
      <c r="B704" s="6" t="s">
        <v>304</v>
      </c>
      <c r="C704" s="9" t="s">
        <v>31</v>
      </c>
      <c r="D704" s="22">
        <v>42836</v>
      </c>
      <c r="E704" s="9">
        <v>0</v>
      </c>
      <c r="F704" s="9">
        <v>0</v>
      </c>
      <c r="G704" s="9">
        <v>1</v>
      </c>
      <c r="H704" s="9">
        <v>0</v>
      </c>
      <c r="I704" s="9">
        <v>1</v>
      </c>
      <c r="J704" s="9">
        <v>0</v>
      </c>
      <c r="K704" s="55"/>
      <c r="L704" s="24"/>
    </row>
    <row r="705" spans="2:12" x14ac:dyDescent="0.2">
      <c r="B705" s="6" t="s">
        <v>201</v>
      </c>
      <c r="C705" s="9" t="s">
        <v>31</v>
      </c>
      <c r="D705" s="22">
        <v>42846</v>
      </c>
      <c r="E705" s="9">
        <v>0</v>
      </c>
      <c r="F705" s="9">
        <v>0</v>
      </c>
      <c r="G705" s="9">
        <v>1</v>
      </c>
      <c r="H705" s="9">
        <v>0</v>
      </c>
      <c r="I705" s="9">
        <v>1</v>
      </c>
      <c r="J705" s="9">
        <v>0</v>
      </c>
      <c r="K705" s="55"/>
      <c r="L705" s="24"/>
    </row>
    <row r="706" spans="2:12" x14ac:dyDescent="0.2">
      <c r="B706" s="6" t="s">
        <v>394</v>
      </c>
      <c r="C706" s="9" t="s">
        <v>20</v>
      </c>
      <c r="D706" s="22">
        <v>42853</v>
      </c>
      <c r="E706" s="9">
        <v>0</v>
      </c>
      <c r="F706" s="9">
        <v>0</v>
      </c>
      <c r="G706" s="9">
        <v>1</v>
      </c>
      <c r="H706" s="9">
        <v>0</v>
      </c>
      <c r="I706" s="9">
        <v>1</v>
      </c>
      <c r="J706" s="9">
        <v>0</v>
      </c>
      <c r="K706" s="55"/>
      <c r="L706" s="24"/>
    </row>
    <row r="707" spans="2:12" x14ac:dyDescent="0.2">
      <c r="B707" s="6" t="s">
        <v>488</v>
      </c>
      <c r="C707" s="9" t="s">
        <v>31</v>
      </c>
      <c r="D707" s="22">
        <v>42896</v>
      </c>
      <c r="E707" s="9">
        <v>0</v>
      </c>
      <c r="F707" s="9">
        <v>0</v>
      </c>
      <c r="G707" s="9">
        <v>1</v>
      </c>
      <c r="H707" s="9">
        <v>0</v>
      </c>
      <c r="I707" s="9">
        <v>1</v>
      </c>
      <c r="J707" s="9">
        <v>0</v>
      </c>
      <c r="K707" s="55"/>
      <c r="L707" s="24"/>
    </row>
    <row r="708" spans="2:12" x14ac:dyDescent="0.2">
      <c r="B708" s="6" t="s">
        <v>218</v>
      </c>
      <c r="C708" s="9" t="s">
        <v>31</v>
      </c>
      <c r="D708" s="22">
        <v>42851</v>
      </c>
      <c r="E708" s="9">
        <v>0</v>
      </c>
      <c r="F708" s="9">
        <v>0</v>
      </c>
      <c r="G708" s="9">
        <v>1</v>
      </c>
      <c r="H708" s="9">
        <v>0</v>
      </c>
      <c r="I708" s="9">
        <v>1</v>
      </c>
      <c r="J708" s="9">
        <v>0</v>
      </c>
      <c r="K708" s="55"/>
      <c r="L708" s="24"/>
    </row>
    <row r="709" spans="2:12" x14ac:dyDescent="0.2">
      <c r="B709" s="6" t="s">
        <v>752</v>
      </c>
      <c r="C709" s="9" t="s">
        <v>20</v>
      </c>
      <c r="D709" s="22">
        <v>42846</v>
      </c>
      <c r="E709" s="9">
        <v>0</v>
      </c>
      <c r="F709" s="9">
        <v>0</v>
      </c>
      <c r="G709" s="9">
        <v>1</v>
      </c>
      <c r="H709" s="9">
        <v>0</v>
      </c>
      <c r="I709" s="9">
        <v>1</v>
      </c>
      <c r="J709" s="9">
        <v>0</v>
      </c>
      <c r="K709" s="55"/>
      <c r="L709" s="24"/>
    </row>
    <row r="710" spans="2:12" x14ac:dyDescent="0.2">
      <c r="B710" s="6" t="s">
        <v>426</v>
      </c>
      <c r="C710" s="9" t="s">
        <v>20</v>
      </c>
      <c r="D710" s="22">
        <v>42912</v>
      </c>
      <c r="E710" s="9">
        <v>0</v>
      </c>
      <c r="F710" s="9">
        <v>0</v>
      </c>
      <c r="G710" s="9">
        <v>1</v>
      </c>
      <c r="H710" s="9">
        <v>0</v>
      </c>
      <c r="I710" s="9">
        <v>1</v>
      </c>
      <c r="J710" s="9">
        <v>0</v>
      </c>
      <c r="K710" s="55"/>
      <c r="L710" s="24"/>
    </row>
    <row r="711" spans="2:12" x14ac:dyDescent="0.2">
      <c r="B711" s="6" t="s">
        <v>322</v>
      </c>
      <c r="C711" s="9" t="s">
        <v>31</v>
      </c>
      <c r="D711" s="22">
        <v>42852</v>
      </c>
      <c r="E711" s="9">
        <v>0</v>
      </c>
      <c r="F711" s="9">
        <v>0</v>
      </c>
      <c r="G711" s="9">
        <v>1</v>
      </c>
      <c r="H711" s="9">
        <v>0</v>
      </c>
      <c r="I711" s="9">
        <v>1</v>
      </c>
      <c r="J711" s="9">
        <v>0</v>
      </c>
      <c r="K711" s="55"/>
      <c r="L711" s="24"/>
    </row>
    <row r="712" spans="2:12" x14ac:dyDescent="0.2">
      <c r="B712" s="6" t="s">
        <v>210</v>
      </c>
      <c r="C712" s="9" t="s">
        <v>20</v>
      </c>
      <c r="D712" s="22">
        <v>42834</v>
      </c>
      <c r="E712" s="9">
        <v>0</v>
      </c>
      <c r="F712" s="9">
        <v>0</v>
      </c>
      <c r="G712" s="9">
        <v>1</v>
      </c>
      <c r="H712" s="9">
        <v>0</v>
      </c>
      <c r="I712" s="9">
        <v>1</v>
      </c>
      <c r="J712" s="9">
        <v>0</v>
      </c>
      <c r="K712" s="55"/>
      <c r="L712" s="24"/>
    </row>
    <row r="713" spans="2:12" x14ac:dyDescent="0.2">
      <c r="B713" s="6" t="s">
        <v>749</v>
      </c>
      <c r="C713" s="9" t="s">
        <v>20</v>
      </c>
      <c r="D713" s="22">
        <v>42860</v>
      </c>
      <c r="E713" s="9">
        <v>0</v>
      </c>
      <c r="F713" s="9">
        <v>0</v>
      </c>
      <c r="G713" s="9">
        <v>1</v>
      </c>
      <c r="H713" s="9">
        <v>0</v>
      </c>
      <c r="I713" s="9">
        <v>1</v>
      </c>
      <c r="J713" s="9">
        <v>0</v>
      </c>
      <c r="K713" s="55"/>
      <c r="L713" s="24"/>
    </row>
    <row r="714" spans="2:12" x14ac:dyDescent="0.2">
      <c r="B714" s="6" t="s">
        <v>405</v>
      </c>
      <c r="C714" s="9" t="s">
        <v>31</v>
      </c>
      <c r="D714" s="22">
        <v>42863</v>
      </c>
      <c r="E714" s="9">
        <v>0</v>
      </c>
      <c r="F714" s="9">
        <v>0</v>
      </c>
      <c r="G714" s="9">
        <v>1</v>
      </c>
      <c r="H714" s="9">
        <v>0</v>
      </c>
      <c r="I714" s="9">
        <v>1</v>
      </c>
      <c r="J714" s="9">
        <v>0</v>
      </c>
      <c r="K714" s="55"/>
      <c r="L714" s="24"/>
    </row>
    <row r="715" spans="2:12" x14ac:dyDescent="0.2">
      <c r="B715" s="6" t="s">
        <v>130</v>
      </c>
      <c r="C715" s="9" t="s">
        <v>31</v>
      </c>
      <c r="D715" s="22">
        <v>42916</v>
      </c>
      <c r="E715" s="9">
        <v>0</v>
      </c>
      <c r="F715" s="9">
        <v>0</v>
      </c>
      <c r="G715" s="9">
        <v>1</v>
      </c>
      <c r="H715" s="9">
        <v>0</v>
      </c>
      <c r="I715" s="9">
        <v>1</v>
      </c>
      <c r="J715" s="9">
        <v>0</v>
      </c>
      <c r="K715" s="55"/>
      <c r="L715" s="24"/>
    </row>
    <row r="716" spans="2:12" x14ac:dyDescent="0.2">
      <c r="B716" s="6" t="s">
        <v>474</v>
      </c>
      <c r="C716" s="9" t="s">
        <v>31</v>
      </c>
      <c r="D716" s="22">
        <v>42831</v>
      </c>
      <c r="E716" s="9">
        <v>0</v>
      </c>
      <c r="F716" s="9">
        <v>0</v>
      </c>
      <c r="G716" s="9">
        <v>1</v>
      </c>
      <c r="H716" s="9">
        <v>0</v>
      </c>
      <c r="I716" s="9">
        <v>1</v>
      </c>
      <c r="J716" s="9">
        <v>0</v>
      </c>
      <c r="K716" s="55"/>
      <c r="L716" s="24"/>
    </row>
    <row r="717" spans="2:12" x14ac:dyDescent="0.2">
      <c r="B717" s="6" t="s">
        <v>751</v>
      </c>
      <c r="C717" s="9" t="s">
        <v>31</v>
      </c>
      <c r="D717" s="22">
        <v>42837</v>
      </c>
      <c r="E717" s="9">
        <v>0</v>
      </c>
      <c r="F717" s="9">
        <v>0</v>
      </c>
      <c r="G717" s="9">
        <v>1</v>
      </c>
      <c r="H717" s="9">
        <v>0</v>
      </c>
      <c r="I717" s="9">
        <v>1</v>
      </c>
      <c r="J717" s="9">
        <v>0</v>
      </c>
      <c r="K717" s="55"/>
      <c r="L717" s="24"/>
    </row>
    <row r="718" spans="2:12" x14ac:dyDescent="0.2">
      <c r="B718" s="6" t="s">
        <v>535</v>
      </c>
      <c r="C718" s="9" t="s">
        <v>31</v>
      </c>
      <c r="D718" s="22">
        <v>42875</v>
      </c>
      <c r="E718" s="9">
        <v>0</v>
      </c>
      <c r="F718" s="9">
        <v>0</v>
      </c>
      <c r="G718" s="9">
        <v>1</v>
      </c>
      <c r="H718" s="9">
        <v>0</v>
      </c>
      <c r="I718" s="9">
        <v>1</v>
      </c>
      <c r="J718" s="9">
        <v>0</v>
      </c>
      <c r="K718" s="55"/>
      <c r="L718" s="24"/>
    </row>
    <row r="719" spans="2:12" x14ac:dyDescent="0.2">
      <c r="B719" s="6" t="s">
        <v>179</v>
      </c>
      <c r="C719" s="9" t="s">
        <v>31</v>
      </c>
      <c r="D719" s="22">
        <v>42863</v>
      </c>
      <c r="E719" s="9">
        <v>0</v>
      </c>
      <c r="F719" s="9">
        <v>0</v>
      </c>
      <c r="G719" s="9">
        <v>1</v>
      </c>
      <c r="H719" s="9">
        <v>0</v>
      </c>
      <c r="I719" s="9">
        <v>1</v>
      </c>
      <c r="J719" s="9">
        <v>0</v>
      </c>
      <c r="K719" s="55"/>
      <c r="L719" s="24"/>
    </row>
    <row r="720" spans="2:12" x14ac:dyDescent="0.2">
      <c r="B720" s="6" t="s">
        <v>500</v>
      </c>
      <c r="C720" s="9" t="s">
        <v>31</v>
      </c>
      <c r="D720" s="22">
        <v>42916</v>
      </c>
      <c r="E720" s="9">
        <v>0</v>
      </c>
      <c r="F720" s="9">
        <v>0</v>
      </c>
      <c r="G720" s="9">
        <v>1</v>
      </c>
      <c r="H720" s="9">
        <v>0</v>
      </c>
      <c r="I720" s="9">
        <v>1</v>
      </c>
      <c r="J720" s="9">
        <v>0</v>
      </c>
      <c r="K720" s="55"/>
      <c r="L720" s="24"/>
    </row>
    <row r="721" spans="2:12" x14ac:dyDescent="0.2">
      <c r="B721" s="6" t="s">
        <v>137</v>
      </c>
      <c r="C721" s="9" t="s">
        <v>31</v>
      </c>
      <c r="D721" s="22">
        <v>42886</v>
      </c>
      <c r="E721" s="9">
        <v>0</v>
      </c>
      <c r="F721" s="9">
        <v>0</v>
      </c>
      <c r="G721" s="9">
        <v>1</v>
      </c>
      <c r="H721" s="9">
        <v>0</v>
      </c>
      <c r="I721" s="9">
        <v>1</v>
      </c>
      <c r="J721" s="9">
        <v>0</v>
      </c>
      <c r="K721" s="55"/>
      <c r="L721" s="24"/>
    </row>
    <row r="722" spans="2:12" x14ac:dyDescent="0.2">
      <c r="B722" s="6" t="s">
        <v>55</v>
      </c>
      <c r="C722" s="9" t="s">
        <v>20</v>
      </c>
      <c r="D722" s="22">
        <v>42903</v>
      </c>
      <c r="E722" s="9">
        <v>0</v>
      </c>
      <c r="F722" s="9">
        <v>0</v>
      </c>
      <c r="G722" s="9">
        <v>1</v>
      </c>
      <c r="H722" s="9">
        <v>0</v>
      </c>
      <c r="I722" s="9">
        <v>1</v>
      </c>
      <c r="J722" s="9">
        <v>0</v>
      </c>
      <c r="K722" s="55"/>
      <c r="L722" s="24"/>
    </row>
    <row r="723" spans="2:12" x14ac:dyDescent="0.2">
      <c r="B723" s="6" t="s">
        <v>364</v>
      </c>
      <c r="C723" s="9" t="s">
        <v>31</v>
      </c>
      <c r="D723" s="22">
        <v>42892</v>
      </c>
      <c r="E723" s="9">
        <v>0</v>
      </c>
      <c r="F723" s="9">
        <v>0</v>
      </c>
      <c r="G723" s="9">
        <v>1</v>
      </c>
      <c r="H723" s="9">
        <v>0</v>
      </c>
      <c r="I723" s="9">
        <v>1</v>
      </c>
      <c r="J723" s="9">
        <v>0</v>
      </c>
      <c r="K723" s="55"/>
      <c r="L723" s="24"/>
    </row>
    <row r="724" spans="2:12" x14ac:dyDescent="0.2">
      <c r="B724" s="6" t="s">
        <v>330</v>
      </c>
      <c r="C724" s="9" t="s">
        <v>20</v>
      </c>
      <c r="D724" s="22">
        <v>42836</v>
      </c>
      <c r="E724" s="9">
        <v>0</v>
      </c>
      <c r="F724" s="9">
        <v>0</v>
      </c>
      <c r="G724" s="9">
        <v>1</v>
      </c>
      <c r="H724" s="9">
        <v>0</v>
      </c>
      <c r="I724" s="9">
        <v>1</v>
      </c>
      <c r="J724" s="9">
        <v>0</v>
      </c>
      <c r="K724" s="55"/>
      <c r="L724" s="24"/>
    </row>
    <row r="725" spans="2:12" x14ac:dyDescent="0.2">
      <c r="B725" s="6" t="s">
        <v>346</v>
      </c>
      <c r="C725" s="9" t="s">
        <v>20</v>
      </c>
      <c r="D725" s="22">
        <v>42851</v>
      </c>
      <c r="E725" s="9">
        <v>0</v>
      </c>
      <c r="F725" s="9">
        <v>0</v>
      </c>
      <c r="G725" s="9">
        <v>1</v>
      </c>
      <c r="H725" s="9">
        <v>0</v>
      </c>
      <c r="I725" s="9">
        <v>1</v>
      </c>
      <c r="J725" s="9">
        <v>0</v>
      </c>
      <c r="K725" s="55"/>
      <c r="L725" s="24"/>
    </row>
    <row r="726" spans="2:12" x14ac:dyDescent="0.2">
      <c r="B726" s="6" t="s">
        <v>480</v>
      </c>
      <c r="C726" s="9" t="s">
        <v>31</v>
      </c>
      <c r="D726" s="22">
        <v>42847</v>
      </c>
      <c r="E726" s="9">
        <v>0</v>
      </c>
      <c r="F726" s="9">
        <v>0</v>
      </c>
      <c r="G726" s="9">
        <v>1</v>
      </c>
      <c r="H726" s="9">
        <v>0</v>
      </c>
      <c r="I726" s="9">
        <v>1</v>
      </c>
      <c r="J726" s="9">
        <v>0</v>
      </c>
      <c r="K726" s="55"/>
      <c r="L726" s="24"/>
    </row>
    <row r="727" spans="2:12" x14ac:dyDescent="0.2">
      <c r="B727" s="6" t="s">
        <v>83</v>
      </c>
      <c r="C727" s="9" t="s">
        <v>20</v>
      </c>
      <c r="D727" s="22">
        <v>42832</v>
      </c>
      <c r="E727" s="9">
        <v>0</v>
      </c>
      <c r="F727" s="9">
        <v>0</v>
      </c>
      <c r="G727" s="9">
        <v>1</v>
      </c>
      <c r="H727" s="9">
        <v>0</v>
      </c>
      <c r="I727" s="9">
        <v>1</v>
      </c>
      <c r="J727" s="9">
        <v>0</v>
      </c>
      <c r="K727" s="55"/>
      <c r="L727" s="24"/>
    </row>
    <row r="728" spans="2:12" x14ac:dyDescent="0.2">
      <c r="B728" s="6" t="s">
        <v>298</v>
      </c>
      <c r="C728" s="9" t="s">
        <v>31</v>
      </c>
      <c r="D728" s="22">
        <v>42891</v>
      </c>
      <c r="E728" s="9">
        <v>0</v>
      </c>
      <c r="F728" s="9">
        <v>0</v>
      </c>
      <c r="G728" s="9">
        <v>1</v>
      </c>
      <c r="H728" s="9">
        <v>0</v>
      </c>
      <c r="I728" s="9">
        <v>1</v>
      </c>
      <c r="J728" s="9">
        <v>0</v>
      </c>
      <c r="K728" s="55"/>
      <c r="L728" s="24"/>
    </row>
    <row r="729" spans="2:12" x14ac:dyDescent="0.2">
      <c r="B729" s="6" t="s">
        <v>599</v>
      </c>
      <c r="C729" s="9" t="s">
        <v>20</v>
      </c>
      <c r="D729" s="22">
        <v>42844</v>
      </c>
      <c r="E729" s="9">
        <v>0</v>
      </c>
      <c r="F729" s="9">
        <v>0</v>
      </c>
      <c r="G729" s="9">
        <v>1</v>
      </c>
      <c r="H729" s="9">
        <v>0</v>
      </c>
      <c r="I729" s="9">
        <v>1</v>
      </c>
      <c r="J729" s="9">
        <v>0</v>
      </c>
      <c r="K729" s="55"/>
      <c r="L729" s="24"/>
    </row>
    <row r="730" spans="2:12" x14ac:dyDescent="0.2">
      <c r="B730" s="6" t="s">
        <v>393</v>
      </c>
      <c r="C730" s="9" t="s">
        <v>31</v>
      </c>
      <c r="D730" s="22">
        <v>42827</v>
      </c>
      <c r="E730" s="9">
        <v>0</v>
      </c>
      <c r="F730" s="9">
        <v>0</v>
      </c>
      <c r="G730" s="9">
        <v>1</v>
      </c>
      <c r="H730" s="9">
        <v>0</v>
      </c>
      <c r="I730" s="9">
        <v>1</v>
      </c>
      <c r="J730" s="9">
        <v>0</v>
      </c>
      <c r="K730" s="55"/>
      <c r="L730" s="24"/>
    </row>
    <row r="731" spans="2:12" x14ac:dyDescent="0.2">
      <c r="B731" s="6" t="s">
        <v>403</v>
      </c>
      <c r="C731" s="9" t="s">
        <v>20</v>
      </c>
      <c r="D731" s="22">
        <v>42872</v>
      </c>
      <c r="E731" s="9">
        <v>0</v>
      </c>
      <c r="F731" s="9">
        <v>0</v>
      </c>
      <c r="G731" s="9">
        <v>1</v>
      </c>
      <c r="H731" s="9">
        <v>0</v>
      </c>
      <c r="I731" s="9">
        <v>1</v>
      </c>
      <c r="J731" s="9">
        <v>0</v>
      </c>
      <c r="K731" s="55"/>
      <c r="L731" s="24"/>
    </row>
    <row r="732" spans="2:12" x14ac:dyDescent="0.2">
      <c r="B732" s="6" t="s">
        <v>397</v>
      </c>
      <c r="C732" s="9" t="s">
        <v>31</v>
      </c>
      <c r="D732" s="22">
        <v>42870</v>
      </c>
      <c r="E732" s="9">
        <v>0</v>
      </c>
      <c r="F732" s="9">
        <v>0</v>
      </c>
      <c r="G732" s="9">
        <v>1</v>
      </c>
      <c r="H732" s="9">
        <v>0</v>
      </c>
      <c r="I732" s="9">
        <v>1</v>
      </c>
      <c r="J732" s="9">
        <v>0</v>
      </c>
      <c r="K732" s="55"/>
      <c r="L732" s="24"/>
    </row>
    <row r="733" spans="2:12" x14ac:dyDescent="0.2">
      <c r="B733" s="6" t="s">
        <v>750</v>
      </c>
      <c r="C733" s="9" t="s">
        <v>31</v>
      </c>
      <c r="D733" s="22">
        <v>42844</v>
      </c>
      <c r="E733" s="9">
        <v>0</v>
      </c>
      <c r="F733" s="9">
        <v>0</v>
      </c>
      <c r="G733" s="9">
        <v>1</v>
      </c>
      <c r="H733" s="9">
        <v>0</v>
      </c>
      <c r="I733" s="9">
        <v>1</v>
      </c>
      <c r="J733" s="9">
        <v>0</v>
      </c>
      <c r="K733" s="55"/>
      <c r="L733" s="24"/>
    </row>
    <row r="734" spans="2:12" x14ac:dyDescent="0.2">
      <c r="B734" s="6" t="s">
        <v>191</v>
      </c>
      <c r="C734" s="9" t="s">
        <v>20</v>
      </c>
      <c r="D734" s="22">
        <v>42911</v>
      </c>
      <c r="E734" s="9">
        <v>0</v>
      </c>
      <c r="F734" s="9">
        <v>0</v>
      </c>
      <c r="G734" s="9">
        <v>1</v>
      </c>
      <c r="H734" s="9">
        <v>0</v>
      </c>
      <c r="I734" s="9">
        <v>1</v>
      </c>
      <c r="J734" s="9">
        <v>0</v>
      </c>
      <c r="K734" s="55"/>
      <c r="L734" s="24"/>
    </row>
    <row r="735" spans="2:12" x14ac:dyDescent="0.2">
      <c r="B735" s="6" t="s">
        <v>675</v>
      </c>
      <c r="C735" s="9" t="s">
        <v>31</v>
      </c>
      <c r="D735" s="22">
        <v>42841</v>
      </c>
      <c r="E735" s="9">
        <v>0</v>
      </c>
      <c r="F735" s="9">
        <v>0</v>
      </c>
      <c r="G735" s="9">
        <v>1</v>
      </c>
      <c r="H735" s="9">
        <v>0</v>
      </c>
      <c r="I735" s="9">
        <v>1</v>
      </c>
      <c r="J735" s="9">
        <v>0</v>
      </c>
      <c r="K735" s="55"/>
      <c r="L735" s="24"/>
    </row>
    <row r="736" spans="2:12" x14ac:dyDescent="0.2">
      <c r="B736" s="6" t="s">
        <v>462</v>
      </c>
      <c r="C736" s="9" t="s">
        <v>31</v>
      </c>
      <c r="D736" s="22">
        <v>42906</v>
      </c>
      <c r="E736" s="9">
        <v>0</v>
      </c>
      <c r="F736" s="9">
        <v>0</v>
      </c>
      <c r="G736" s="9">
        <v>1</v>
      </c>
      <c r="H736" s="9">
        <v>0</v>
      </c>
      <c r="I736" s="9">
        <v>1</v>
      </c>
      <c r="J736" s="9">
        <v>0</v>
      </c>
      <c r="K736" s="55"/>
      <c r="L736" s="24"/>
    </row>
    <row r="737" spans="2:12" x14ac:dyDescent="0.2">
      <c r="B737" s="6" t="s">
        <v>461</v>
      </c>
      <c r="C737" s="9" t="s">
        <v>31</v>
      </c>
      <c r="D737" s="22">
        <v>42826</v>
      </c>
      <c r="E737" s="9">
        <v>0</v>
      </c>
      <c r="F737" s="9">
        <v>0</v>
      </c>
      <c r="G737" s="9">
        <v>1</v>
      </c>
      <c r="H737" s="9">
        <v>0</v>
      </c>
      <c r="I737" s="9">
        <v>1</v>
      </c>
      <c r="J737" s="9">
        <v>0</v>
      </c>
      <c r="K737" s="55"/>
      <c r="L737" s="24"/>
    </row>
    <row r="738" spans="2:12" x14ac:dyDescent="0.2">
      <c r="B738" s="6" t="s">
        <v>149</v>
      </c>
      <c r="C738" s="9" t="s">
        <v>31</v>
      </c>
      <c r="D738" s="22">
        <v>42841</v>
      </c>
      <c r="E738" s="9">
        <v>0</v>
      </c>
      <c r="F738" s="9">
        <v>0</v>
      </c>
      <c r="G738" s="9">
        <v>1</v>
      </c>
      <c r="H738" s="9">
        <v>0</v>
      </c>
      <c r="I738" s="9">
        <v>1</v>
      </c>
      <c r="J738" s="9">
        <v>0</v>
      </c>
      <c r="K738" s="55"/>
      <c r="L738" s="24"/>
    </row>
    <row r="739" spans="2:12" x14ac:dyDescent="0.2">
      <c r="B739" s="6" t="s">
        <v>101</v>
      </c>
      <c r="C739" s="9" t="s">
        <v>31</v>
      </c>
      <c r="D739" s="22">
        <v>42887</v>
      </c>
      <c r="E739" s="9">
        <v>0</v>
      </c>
      <c r="F739" s="9">
        <v>0</v>
      </c>
      <c r="G739" s="9">
        <v>1</v>
      </c>
      <c r="H739" s="9">
        <v>0</v>
      </c>
      <c r="I739" s="9">
        <v>1</v>
      </c>
      <c r="J739" s="9">
        <v>0</v>
      </c>
      <c r="K739" s="55"/>
      <c r="L739" s="24"/>
    </row>
    <row r="740" spans="2:12" x14ac:dyDescent="0.2">
      <c r="B740" s="6" t="s">
        <v>654</v>
      </c>
      <c r="C740" s="9" t="s">
        <v>31</v>
      </c>
      <c r="D740" s="22">
        <v>42843</v>
      </c>
      <c r="E740" s="9">
        <v>0</v>
      </c>
      <c r="F740" s="9">
        <v>0</v>
      </c>
      <c r="G740" s="9">
        <v>1</v>
      </c>
      <c r="H740" s="9">
        <v>0</v>
      </c>
      <c r="I740" s="9">
        <v>1</v>
      </c>
      <c r="J740" s="9">
        <v>0</v>
      </c>
      <c r="K740" s="55"/>
      <c r="L740" s="24"/>
    </row>
    <row r="741" spans="2:12" x14ac:dyDescent="0.2">
      <c r="B741" s="6" t="s">
        <v>431</v>
      </c>
      <c r="C741" s="9" t="s">
        <v>31</v>
      </c>
      <c r="D741" s="22">
        <v>42855</v>
      </c>
      <c r="E741" s="9">
        <v>0</v>
      </c>
      <c r="F741" s="9">
        <v>0</v>
      </c>
      <c r="G741" s="9">
        <v>1</v>
      </c>
      <c r="H741" s="9">
        <v>0</v>
      </c>
      <c r="I741" s="9">
        <v>1</v>
      </c>
      <c r="J741" s="9">
        <v>0</v>
      </c>
      <c r="K741" s="55"/>
      <c r="L741" s="24"/>
    </row>
    <row r="742" spans="2:12" x14ac:dyDescent="0.2">
      <c r="B742" s="6" t="s">
        <v>227</v>
      </c>
      <c r="C742" s="9" t="s">
        <v>31</v>
      </c>
      <c r="D742" s="22">
        <v>42916</v>
      </c>
      <c r="E742" s="9">
        <v>0</v>
      </c>
      <c r="F742" s="9">
        <v>0</v>
      </c>
      <c r="G742" s="9">
        <v>1</v>
      </c>
      <c r="H742" s="9">
        <v>0</v>
      </c>
      <c r="I742" s="9">
        <v>1</v>
      </c>
      <c r="J742" s="9">
        <v>0</v>
      </c>
      <c r="K742" s="55"/>
      <c r="L742" s="24"/>
    </row>
    <row r="743" spans="2:12" x14ac:dyDescent="0.2">
      <c r="B743" s="6" t="s">
        <v>251</v>
      </c>
      <c r="C743" s="9" t="s">
        <v>31</v>
      </c>
      <c r="D743" s="22">
        <v>42853</v>
      </c>
      <c r="E743" s="9">
        <v>0</v>
      </c>
      <c r="F743" s="9">
        <v>0</v>
      </c>
      <c r="G743" s="9">
        <v>1</v>
      </c>
      <c r="H743" s="9">
        <v>0</v>
      </c>
      <c r="I743" s="9">
        <v>1</v>
      </c>
      <c r="J743" s="9">
        <v>0</v>
      </c>
      <c r="K743" s="55"/>
      <c r="L743" s="24"/>
    </row>
    <row r="744" spans="2:12" x14ac:dyDescent="0.2">
      <c r="B744" s="6" t="s">
        <v>313</v>
      </c>
      <c r="C744" s="9" t="s">
        <v>31</v>
      </c>
      <c r="D744" s="22">
        <v>42865</v>
      </c>
      <c r="E744" s="9">
        <v>0</v>
      </c>
      <c r="F744" s="9">
        <v>0</v>
      </c>
      <c r="G744" s="9">
        <v>1</v>
      </c>
      <c r="H744" s="9">
        <v>0</v>
      </c>
      <c r="I744" s="9">
        <v>1</v>
      </c>
      <c r="J744" s="9">
        <v>0</v>
      </c>
      <c r="K744" s="55"/>
      <c r="L744" s="24"/>
    </row>
    <row r="745" spans="2:12" x14ac:dyDescent="0.2">
      <c r="B745" s="6" t="s">
        <v>998</v>
      </c>
      <c r="C745" s="9" t="s">
        <v>31</v>
      </c>
      <c r="D745" s="22">
        <v>42895</v>
      </c>
      <c r="E745" s="9">
        <v>0</v>
      </c>
      <c r="F745" s="9">
        <v>0</v>
      </c>
      <c r="G745" s="9">
        <v>1</v>
      </c>
      <c r="H745" s="9">
        <v>0</v>
      </c>
      <c r="I745" s="9">
        <v>1</v>
      </c>
      <c r="J745" s="9">
        <v>0</v>
      </c>
      <c r="K745" s="55"/>
      <c r="L745" s="24"/>
    </row>
    <row r="746" spans="2:12" x14ac:dyDescent="0.2">
      <c r="B746" s="6" t="s">
        <v>98</v>
      </c>
      <c r="C746" s="9" t="s">
        <v>31</v>
      </c>
      <c r="D746" s="22">
        <v>42860</v>
      </c>
      <c r="E746" s="9">
        <v>0</v>
      </c>
      <c r="F746" s="9">
        <v>0</v>
      </c>
      <c r="G746" s="9">
        <v>1</v>
      </c>
      <c r="H746" s="9">
        <v>0</v>
      </c>
      <c r="I746" s="9">
        <v>1</v>
      </c>
      <c r="J746" s="9">
        <v>0</v>
      </c>
      <c r="K746" s="55"/>
      <c r="L746" s="24"/>
    </row>
    <row r="747" spans="2:12" x14ac:dyDescent="0.2">
      <c r="B747" s="6" t="s">
        <v>358</v>
      </c>
      <c r="C747" s="9" t="s">
        <v>20</v>
      </c>
      <c r="D747" s="22">
        <v>42877</v>
      </c>
      <c r="E747" s="9">
        <v>0</v>
      </c>
      <c r="F747" s="9">
        <v>0</v>
      </c>
      <c r="G747" s="9">
        <v>1</v>
      </c>
      <c r="H747" s="9">
        <v>0</v>
      </c>
      <c r="I747" s="9">
        <v>1</v>
      </c>
      <c r="J747" s="9">
        <v>0</v>
      </c>
      <c r="K747" s="55"/>
      <c r="L747" s="24"/>
    </row>
    <row r="748" spans="2:12" x14ac:dyDescent="0.2">
      <c r="B748" s="6" t="s">
        <v>627</v>
      </c>
      <c r="C748" s="9" t="s">
        <v>20</v>
      </c>
      <c r="D748" s="22">
        <v>42836</v>
      </c>
      <c r="E748" s="9">
        <v>0</v>
      </c>
      <c r="F748" s="9">
        <v>0</v>
      </c>
      <c r="G748" s="9">
        <v>1</v>
      </c>
      <c r="H748" s="9">
        <v>0</v>
      </c>
      <c r="I748" s="9">
        <v>1</v>
      </c>
      <c r="J748" s="9">
        <v>0</v>
      </c>
      <c r="K748" s="55"/>
      <c r="L748" s="24"/>
    </row>
    <row r="749" spans="2:12" x14ac:dyDescent="0.2">
      <c r="B749" s="6" t="s">
        <v>657</v>
      </c>
      <c r="C749" s="9" t="s">
        <v>31</v>
      </c>
      <c r="D749" s="22">
        <v>42857</v>
      </c>
      <c r="E749" s="9">
        <v>0</v>
      </c>
      <c r="F749" s="9">
        <v>0</v>
      </c>
      <c r="G749" s="9">
        <v>1</v>
      </c>
      <c r="H749" s="9">
        <v>0</v>
      </c>
      <c r="I749" s="9">
        <v>1</v>
      </c>
      <c r="J749" s="9">
        <v>0</v>
      </c>
      <c r="K749" s="55"/>
      <c r="L749" s="24"/>
    </row>
    <row r="750" spans="2:12" x14ac:dyDescent="0.2">
      <c r="B750" s="6" t="s">
        <v>633</v>
      </c>
      <c r="C750" s="9" t="s">
        <v>31</v>
      </c>
      <c r="D750" s="22">
        <v>42865</v>
      </c>
      <c r="E750" s="9">
        <v>0</v>
      </c>
      <c r="F750" s="9">
        <v>0</v>
      </c>
      <c r="G750" s="9">
        <v>1</v>
      </c>
      <c r="H750" s="9">
        <v>0</v>
      </c>
      <c r="I750" s="9">
        <v>1</v>
      </c>
      <c r="J750" s="9">
        <v>0</v>
      </c>
      <c r="K750" s="55"/>
      <c r="L750" s="24"/>
    </row>
    <row r="751" spans="2:12" x14ac:dyDescent="0.2">
      <c r="B751" s="6" t="s">
        <v>126</v>
      </c>
      <c r="C751" s="9" t="s">
        <v>20</v>
      </c>
      <c r="D751" s="22">
        <v>42861</v>
      </c>
      <c r="E751" s="9">
        <v>0</v>
      </c>
      <c r="F751" s="9">
        <v>0</v>
      </c>
      <c r="G751" s="9">
        <v>1</v>
      </c>
      <c r="H751" s="9">
        <v>0</v>
      </c>
      <c r="I751" s="9">
        <v>1</v>
      </c>
      <c r="J751" s="9">
        <v>0</v>
      </c>
      <c r="K751" s="55"/>
      <c r="L751" s="24"/>
    </row>
    <row r="752" spans="2:12" x14ac:dyDescent="0.2">
      <c r="B752" s="6" t="s">
        <v>506</v>
      </c>
      <c r="C752" s="9" t="s">
        <v>31</v>
      </c>
      <c r="D752" s="22">
        <v>42902</v>
      </c>
      <c r="E752" s="9">
        <v>0</v>
      </c>
      <c r="F752" s="9">
        <v>0</v>
      </c>
      <c r="G752" s="9">
        <v>1</v>
      </c>
      <c r="H752" s="9">
        <v>0</v>
      </c>
      <c r="I752" s="9">
        <v>1</v>
      </c>
      <c r="J752" s="9">
        <v>0</v>
      </c>
      <c r="K752" s="55"/>
      <c r="L752" s="24"/>
    </row>
    <row r="753" spans="2:12" x14ac:dyDescent="0.2">
      <c r="B753" s="6" t="s">
        <v>715</v>
      </c>
      <c r="C753" s="9" t="s">
        <v>20</v>
      </c>
      <c r="D753" s="22">
        <v>42903</v>
      </c>
      <c r="E753" s="9">
        <v>0</v>
      </c>
      <c r="F753" s="9">
        <v>0</v>
      </c>
      <c r="G753" s="9">
        <v>1</v>
      </c>
      <c r="H753" s="9">
        <v>0</v>
      </c>
      <c r="I753" s="9">
        <v>1</v>
      </c>
      <c r="J753" s="9">
        <v>0</v>
      </c>
      <c r="K753" s="55"/>
      <c r="L753" s="24"/>
    </row>
    <row r="754" spans="2:12" x14ac:dyDescent="0.2">
      <c r="B754" s="6" t="s">
        <v>262</v>
      </c>
      <c r="C754" s="9" t="s">
        <v>31</v>
      </c>
      <c r="D754" s="22">
        <v>42884</v>
      </c>
      <c r="E754" s="9">
        <v>0</v>
      </c>
      <c r="F754" s="9">
        <v>0</v>
      </c>
      <c r="G754" s="9">
        <v>1</v>
      </c>
      <c r="H754" s="9">
        <v>0</v>
      </c>
      <c r="I754" s="9">
        <v>1</v>
      </c>
      <c r="J754" s="9">
        <v>0</v>
      </c>
      <c r="K754" s="55"/>
      <c r="L754" s="24"/>
    </row>
    <row r="755" spans="2:12" x14ac:dyDescent="0.2">
      <c r="B755" s="6" t="s">
        <v>716</v>
      </c>
      <c r="C755" s="9" t="s">
        <v>31</v>
      </c>
      <c r="D755" s="22">
        <v>42864</v>
      </c>
      <c r="E755" s="9">
        <v>0</v>
      </c>
      <c r="F755" s="9">
        <v>0</v>
      </c>
      <c r="G755" s="9">
        <v>1</v>
      </c>
      <c r="H755" s="9">
        <v>0</v>
      </c>
      <c r="I755" s="9">
        <v>1</v>
      </c>
      <c r="J755" s="9">
        <v>0</v>
      </c>
      <c r="K755" s="55"/>
      <c r="L755" s="24"/>
    </row>
    <row r="756" spans="2:12" x14ac:dyDescent="0.2">
      <c r="B756" s="6" t="s">
        <v>263</v>
      </c>
      <c r="C756" s="9" t="s">
        <v>20</v>
      </c>
      <c r="D756" s="22">
        <v>42890</v>
      </c>
      <c r="E756" s="9">
        <v>0</v>
      </c>
      <c r="F756" s="9">
        <v>0</v>
      </c>
      <c r="G756" s="9">
        <v>1</v>
      </c>
      <c r="H756" s="9">
        <v>0</v>
      </c>
      <c r="I756" s="9">
        <v>1</v>
      </c>
      <c r="J756" s="9">
        <v>0</v>
      </c>
      <c r="K756" s="55"/>
      <c r="L756" s="24"/>
    </row>
    <row r="757" spans="2:12" x14ac:dyDescent="0.2">
      <c r="B757" s="6" t="s">
        <v>90</v>
      </c>
      <c r="C757" s="9" t="s">
        <v>31</v>
      </c>
      <c r="D757" s="22">
        <v>42829</v>
      </c>
      <c r="E757" s="9">
        <v>0</v>
      </c>
      <c r="F757" s="9">
        <v>0</v>
      </c>
      <c r="G757" s="9">
        <v>1</v>
      </c>
      <c r="H757" s="9">
        <v>0</v>
      </c>
      <c r="I757" s="9">
        <v>1</v>
      </c>
      <c r="J757" s="9">
        <v>0</v>
      </c>
      <c r="K757" s="55"/>
      <c r="L757" s="24"/>
    </row>
    <row r="758" spans="2:12" x14ac:dyDescent="0.2">
      <c r="B758" s="6" t="s">
        <v>279</v>
      </c>
      <c r="C758" s="9" t="s">
        <v>20</v>
      </c>
      <c r="D758" s="22">
        <v>42860</v>
      </c>
      <c r="E758" s="9">
        <v>0</v>
      </c>
      <c r="F758" s="9">
        <v>0</v>
      </c>
      <c r="G758" s="9">
        <v>1</v>
      </c>
      <c r="H758" s="9">
        <v>0</v>
      </c>
      <c r="I758" s="9">
        <v>1</v>
      </c>
      <c r="J758" s="9">
        <v>0</v>
      </c>
      <c r="K758" s="55"/>
      <c r="L758" s="24"/>
    </row>
    <row r="759" spans="2:12" x14ac:dyDescent="0.2">
      <c r="B759" s="6" t="s">
        <v>532</v>
      </c>
      <c r="C759" s="9" t="s">
        <v>20</v>
      </c>
      <c r="D759" s="22">
        <v>42866</v>
      </c>
      <c r="E759" s="9">
        <v>0</v>
      </c>
      <c r="F759" s="9">
        <v>0</v>
      </c>
      <c r="G759" s="9">
        <v>1</v>
      </c>
      <c r="H759" s="9">
        <v>0</v>
      </c>
      <c r="I759" s="9">
        <v>1</v>
      </c>
      <c r="J759" s="9">
        <v>0</v>
      </c>
      <c r="K759" s="55"/>
      <c r="L759" s="24"/>
    </row>
    <row r="760" spans="2:12" x14ac:dyDescent="0.2">
      <c r="B760" s="6" t="s">
        <v>682</v>
      </c>
      <c r="C760" s="9" t="s">
        <v>20</v>
      </c>
      <c r="D760" s="22">
        <v>42873</v>
      </c>
      <c r="E760" s="9">
        <v>0</v>
      </c>
      <c r="F760" s="9">
        <v>0</v>
      </c>
      <c r="G760" s="9">
        <v>1</v>
      </c>
      <c r="H760" s="9">
        <v>0</v>
      </c>
      <c r="I760" s="9">
        <v>1</v>
      </c>
      <c r="J760" s="9">
        <v>0</v>
      </c>
      <c r="K760" s="55"/>
      <c r="L760" s="24"/>
    </row>
    <row r="761" spans="2:12" x14ac:dyDescent="0.2">
      <c r="B761" s="6" t="s">
        <v>81</v>
      </c>
      <c r="C761" s="9" t="s">
        <v>31</v>
      </c>
      <c r="D761" s="22">
        <v>42841</v>
      </c>
      <c r="E761" s="9">
        <v>0</v>
      </c>
      <c r="F761" s="9">
        <v>0</v>
      </c>
      <c r="G761" s="9">
        <v>1</v>
      </c>
      <c r="H761" s="9">
        <v>0</v>
      </c>
      <c r="I761" s="9">
        <v>1</v>
      </c>
      <c r="J761" s="9">
        <v>0</v>
      </c>
      <c r="K761" s="55"/>
      <c r="L761" s="24"/>
    </row>
    <row r="762" spans="2:12" x14ac:dyDescent="0.2">
      <c r="B762" s="6" t="s">
        <v>52</v>
      </c>
      <c r="C762" s="9" t="s">
        <v>20</v>
      </c>
      <c r="D762" s="22">
        <v>42873</v>
      </c>
      <c r="E762" s="9">
        <v>0</v>
      </c>
      <c r="F762" s="9">
        <v>0</v>
      </c>
      <c r="G762" s="9">
        <v>1</v>
      </c>
      <c r="H762" s="9">
        <v>0</v>
      </c>
      <c r="I762" s="9">
        <v>1</v>
      </c>
      <c r="J762" s="9">
        <v>0</v>
      </c>
      <c r="K762" s="55"/>
      <c r="L762" s="24"/>
    </row>
    <row r="763" spans="2:12" x14ac:dyDescent="0.2">
      <c r="B763" s="6" t="s">
        <v>689</v>
      </c>
      <c r="C763" s="9" t="s">
        <v>20</v>
      </c>
      <c r="D763" s="22">
        <v>42881</v>
      </c>
      <c r="E763" s="9">
        <v>0</v>
      </c>
      <c r="F763" s="9">
        <v>0</v>
      </c>
      <c r="G763" s="9">
        <v>1</v>
      </c>
      <c r="H763" s="9">
        <v>0</v>
      </c>
      <c r="I763" s="9">
        <v>1</v>
      </c>
      <c r="J763" s="9">
        <v>0</v>
      </c>
      <c r="K763" s="55"/>
      <c r="L763" s="24"/>
    </row>
    <row r="764" spans="2:12" x14ac:dyDescent="0.2">
      <c r="B764" s="6" t="s">
        <v>676</v>
      </c>
      <c r="C764" s="9" t="s">
        <v>20</v>
      </c>
      <c r="D764" s="22">
        <v>42847</v>
      </c>
      <c r="E764" s="9">
        <v>0</v>
      </c>
      <c r="F764" s="9">
        <v>0</v>
      </c>
      <c r="G764" s="9">
        <v>1</v>
      </c>
      <c r="H764" s="9">
        <v>0</v>
      </c>
      <c r="I764" s="9">
        <v>1</v>
      </c>
      <c r="J764" s="9">
        <v>0</v>
      </c>
      <c r="K764" s="55"/>
      <c r="L764" s="24"/>
    </row>
    <row r="765" spans="2:12" x14ac:dyDescent="0.2">
      <c r="B765" s="6" t="s">
        <v>449</v>
      </c>
      <c r="C765" s="9" t="s">
        <v>31</v>
      </c>
      <c r="D765" s="22">
        <v>42879</v>
      </c>
      <c r="E765" s="9">
        <v>0</v>
      </c>
      <c r="F765" s="9">
        <v>0</v>
      </c>
      <c r="G765" s="9">
        <v>1</v>
      </c>
      <c r="H765" s="9">
        <v>0</v>
      </c>
      <c r="I765" s="9">
        <v>1</v>
      </c>
      <c r="J765" s="9">
        <v>0</v>
      </c>
      <c r="K765" s="55"/>
      <c r="L765" s="24"/>
    </row>
    <row r="766" spans="2:12" x14ac:dyDescent="0.2">
      <c r="B766" s="6" t="s">
        <v>477</v>
      </c>
      <c r="C766" s="9" t="s">
        <v>20</v>
      </c>
      <c r="D766" s="22">
        <v>42898</v>
      </c>
      <c r="E766" s="9">
        <v>0</v>
      </c>
      <c r="F766" s="9">
        <v>0</v>
      </c>
      <c r="G766" s="9">
        <v>1</v>
      </c>
      <c r="H766" s="9">
        <v>0</v>
      </c>
      <c r="I766" s="9">
        <v>1</v>
      </c>
      <c r="J766" s="9">
        <v>0</v>
      </c>
      <c r="K766" s="55"/>
      <c r="L766" s="24"/>
    </row>
    <row r="767" spans="2:12" x14ac:dyDescent="0.2">
      <c r="B767" s="6" t="s">
        <v>634</v>
      </c>
      <c r="C767" s="9" t="s">
        <v>31</v>
      </c>
      <c r="D767" s="22">
        <v>42875</v>
      </c>
      <c r="E767" s="9">
        <v>0</v>
      </c>
      <c r="F767" s="9">
        <v>0</v>
      </c>
      <c r="G767" s="9">
        <v>1</v>
      </c>
      <c r="H767" s="9">
        <v>0</v>
      </c>
      <c r="I767" s="9">
        <v>1</v>
      </c>
      <c r="J767" s="9">
        <v>0</v>
      </c>
      <c r="K767" s="55"/>
      <c r="L767" s="24"/>
    </row>
    <row r="768" spans="2:12" x14ac:dyDescent="0.2">
      <c r="B768" s="6" t="s">
        <v>294</v>
      </c>
      <c r="C768" s="9" t="s">
        <v>20</v>
      </c>
      <c r="D768" s="22">
        <v>42882</v>
      </c>
      <c r="E768" s="9">
        <v>0</v>
      </c>
      <c r="F768" s="9">
        <v>0</v>
      </c>
      <c r="G768" s="9">
        <v>1</v>
      </c>
      <c r="H768" s="9">
        <v>0</v>
      </c>
      <c r="I768" s="9">
        <v>1</v>
      </c>
      <c r="J768" s="9">
        <v>0</v>
      </c>
      <c r="K768" s="55"/>
      <c r="L768" s="24"/>
    </row>
    <row r="769" spans="2:12" x14ac:dyDescent="0.2">
      <c r="B769" s="6" t="s">
        <v>250</v>
      </c>
      <c r="C769" s="9" t="s">
        <v>20</v>
      </c>
      <c r="D769" s="22">
        <v>42887</v>
      </c>
      <c r="E769" s="9">
        <v>0</v>
      </c>
      <c r="F769" s="9">
        <v>0</v>
      </c>
      <c r="G769" s="9">
        <v>1</v>
      </c>
      <c r="H769" s="9">
        <v>0</v>
      </c>
      <c r="I769" s="9">
        <v>1</v>
      </c>
      <c r="J769" s="9">
        <v>0</v>
      </c>
      <c r="K769" s="55"/>
      <c r="L769" s="24"/>
    </row>
    <row r="770" spans="2:12" x14ac:dyDescent="0.2">
      <c r="B770" s="6" t="s">
        <v>329</v>
      </c>
      <c r="C770" s="9" t="s">
        <v>31</v>
      </c>
      <c r="D770" s="22">
        <v>42854</v>
      </c>
      <c r="E770" s="9">
        <v>0</v>
      </c>
      <c r="F770" s="9">
        <v>0</v>
      </c>
      <c r="G770" s="9">
        <v>1</v>
      </c>
      <c r="H770" s="9">
        <v>0</v>
      </c>
      <c r="I770" s="9">
        <v>1</v>
      </c>
      <c r="J770" s="9">
        <v>0</v>
      </c>
      <c r="K770" s="55"/>
      <c r="L770" s="24"/>
    </row>
    <row r="771" spans="2:12" x14ac:dyDescent="0.2">
      <c r="B771" s="6" t="s">
        <v>63</v>
      </c>
      <c r="C771" s="9" t="s">
        <v>31</v>
      </c>
      <c r="D771" s="22">
        <v>42845</v>
      </c>
      <c r="E771" s="9">
        <v>0</v>
      </c>
      <c r="F771" s="9">
        <v>0</v>
      </c>
      <c r="G771" s="9">
        <v>1</v>
      </c>
      <c r="H771" s="9">
        <v>0</v>
      </c>
      <c r="I771" s="9">
        <v>1</v>
      </c>
      <c r="J771" s="9">
        <v>0</v>
      </c>
      <c r="K771" s="55"/>
      <c r="L771" s="24"/>
    </row>
    <row r="772" spans="2:12" x14ac:dyDescent="0.2">
      <c r="B772" s="6" t="s">
        <v>136</v>
      </c>
      <c r="C772" s="9" t="s">
        <v>31</v>
      </c>
      <c r="D772" s="22">
        <v>42876</v>
      </c>
      <c r="E772" s="9">
        <v>0</v>
      </c>
      <c r="F772" s="9">
        <v>0</v>
      </c>
      <c r="G772" s="9">
        <v>1</v>
      </c>
      <c r="H772" s="9">
        <v>0</v>
      </c>
      <c r="I772" s="9">
        <v>1</v>
      </c>
      <c r="J772" s="9">
        <v>0</v>
      </c>
      <c r="K772" s="55"/>
      <c r="L772" s="24"/>
    </row>
    <row r="773" spans="2:12" x14ac:dyDescent="0.2">
      <c r="B773" s="6" t="s">
        <v>498</v>
      </c>
      <c r="C773" s="9" t="s">
        <v>20</v>
      </c>
      <c r="D773" s="22">
        <v>42868</v>
      </c>
      <c r="E773" s="9">
        <v>0</v>
      </c>
      <c r="F773" s="9">
        <v>0</v>
      </c>
      <c r="G773" s="9">
        <v>1</v>
      </c>
      <c r="H773" s="9">
        <v>0</v>
      </c>
      <c r="I773" s="9">
        <v>1</v>
      </c>
      <c r="J773" s="9">
        <v>0</v>
      </c>
      <c r="K773" s="55"/>
      <c r="L773" s="24"/>
    </row>
    <row r="774" spans="2:12" x14ac:dyDescent="0.2">
      <c r="B774" s="6" t="s">
        <v>558</v>
      </c>
      <c r="C774" s="9" t="s">
        <v>20</v>
      </c>
      <c r="D774" s="22">
        <v>42902</v>
      </c>
      <c r="E774" s="9">
        <v>0</v>
      </c>
      <c r="F774" s="9">
        <v>0</v>
      </c>
      <c r="G774" s="9">
        <v>1</v>
      </c>
      <c r="H774" s="9">
        <v>0</v>
      </c>
      <c r="I774" s="9">
        <v>1</v>
      </c>
      <c r="J774" s="9">
        <v>0</v>
      </c>
      <c r="K774" s="55"/>
      <c r="L774" s="24"/>
    </row>
    <row r="775" spans="2:12" x14ac:dyDescent="0.2">
      <c r="B775" s="6" t="s">
        <v>608</v>
      </c>
      <c r="C775" s="9" t="s">
        <v>31</v>
      </c>
      <c r="D775" s="22">
        <v>42877</v>
      </c>
      <c r="E775" s="9">
        <v>0</v>
      </c>
      <c r="F775" s="9">
        <v>0</v>
      </c>
      <c r="G775" s="9">
        <v>1</v>
      </c>
      <c r="H775" s="9">
        <v>0</v>
      </c>
      <c r="I775" s="9">
        <v>1</v>
      </c>
      <c r="J775" s="9">
        <v>0</v>
      </c>
      <c r="K775" s="55"/>
      <c r="L775" s="24"/>
    </row>
    <row r="776" spans="2:12" x14ac:dyDescent="0.2">
      <c r="B776" s="6" t="s">
        <v>291</v>
      </c>
      <c r="C776" s="9" t="s">
        <v>31</v>
      </c>
      <c r="D776" s="22">
        <v>42881</v>
      </c>
      <c r="E776" s="9">
        <v>0</v>
      </c>
      <c r="F776" s="9">
        <v>0</v>
      </c>
      <c r="G776" s="9">
        <v>1</v>
      </c>
      <c r="H776" s="9">
        <v>0</v>
      </c>
      <c r="I776" s="9">
        <v>1</v>
      </c>
      <c r="J776" s="9">
        <v>0</v>
      </c>
      <c r="K776" s="55"/>
      <c r="L776" s="24"/>
    </row>
    <row r="777" spans="2:12" x14ac:dyDescent="0.2">
      <c r="B777" s="6" t="s">
        <v>635</v>
      </c>
      <c r="C777" s="9" t="s">
        <v>20</v>
      </c>
      <c r="D777" s="22">
        <v>42874</v>
      </c>
      <c r="E777" s="9">
        <v>0</v>
      </c>
      <c r="F777" s="9">
        <v>0</v>
      </c>
      <c r="G777" s="9">
        <v>1</v>
      </c>
      <c r="H777" s="9">
        <v>0</v>
      </c>
      <c r="I777" s="9">
        <v>1</v>
      </c>
      <c r="J777" s="9">
        <v>0</v>
      </c>
      <c r="K777" s="55"/>
      <c r="L777" s="24"/>
    </row>
    <row r="778" spans="2:12" x14ac:dyDescent="0.2">
      <c r="B778" s="6" t="s">
        <v>545</v>
      </c>
      <c r="C778" s="9" t="s">
        <v>31</v>
      </c>
      <c r="D778" s="22">
        <v>42877</v>
      </c>
      <c r="E778" s="9">
        <v>0</v>
      </c>
      <c r="F778" s="9">
        <v>0</v>
      </c>
      <c r="G778" s="9">
        <v>1</v>
      </c>
      <c r="H778" s="9">
        <v>0</v>
      </c>
      <c r="I778" s="9">
        <v>1</v>
      </c>
      <c r="J778" s="9">
        <v>0</v>
      </c>
      <c r="K778" s="55"/>
      <c r="L778" s="24"/>
    </row>
    <row r="779" spans="2:12" x14ac:dyDescent="0.2">
      <c r="B779" s="6" t="s">
        <v>409</v>
      </c>
      <c r="C779" s="9" t="s">
        <v>31</v>
      </c>
      <c r="D779" s="22">
        <v>42859</v>
      </c>
      <c r="E779" s="9">
        <v>0</v>
      </c>
      <c r="F779" s="9">
        <v>0</v>
      </c>
      <c r="G779" s="9">
        <v>1</v>
      </c>
      <c r="H779" s="9">
        <v>0</v>
      </c>
      <c r="I779" s="9">
        <v>1</v>
      </c>
      <c r="J779" s="9">
        <v>0</v>
      </c>
      <c r="K779" s="55"/>
      <c r="L779" s="24"/>
    </row>
    <row r="780" spans="2:12" x14ac:dyDescent="0.2">
      <c r="B780" s="6" t="s">
        <v>151</v>
      </c>
      <c r="C780" s="9" t="s">
        <v>20</v>
      </c>
      <c r="D780" s="22">
        <v>42828</v>
      </c>
      <c r="E780" s="9">
        <v>0</v>
      </c>
      <c r="F780" s="9">
        <v>0</v>
      </c>
      <c r="G780" s="9">
        <v>1</v>
      </c>
      <c r="H780" s="9">
        <v>0</v>
      </c>
      <c r="I780" s="9">
        <v>1</v>
      </c>
      <c r="J780" s="9">
        <v>0</v>
      </c>
      <c r="K780" s="55"/>
      <c r="L780" s="24"/>
    </row>
    <row r="781" spans="2:12" x14ac:dyDescent="0.2">
      <c r="B781" s="6" t="s">
        <v>104</v>
      </c>
      <c r="C781" s="9" t="s">
        <v>20</v>
      </c>
      <c r="D781" s="22">
        <v>42835</v>
      </c>
      <c r="E781" s="9">
        <v>0</v>
      </c>
      <c r="F781" s="9">
        <v>0</v>
      </c>
      <c r="G781" s="9">
        <v>1</v>
      </c>
      <c r="H781" s="9">
        <v>0</v>
      </c>
      <c r="I781" s="9">
        <v>1</v>
      </c>
      <c r="J781" s="9">
        <v>0</v>
      </c>
      <c r="K781" s="55"/>
      <c r="L781" s="24"/>
    </row>
  </sheetData>
  <autoFilter ref="B5:L781" xr:uid="{00000000-0009-0000-0000-000003000000}">
    <sortState xmlns:xlrd2="http://schemas.microsoft.com/office/spreadsheetml/2017/richdata2" ref="B6:N781">
      <sortCondition descending="1" ref="L5:L781"/>
    </sortState>
  </autoFilter>
  <sortState xmlns:xlrd2="http://schemas.microsoft.com/office/spreadsheetml/2017/richdata2" ref="B6:B781">
    <sortCondition ref="B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L197"/>
  <sheetViews>
    <sheetView showGridLines="0" workbookViewId="0"/>
  </sheetViews>
  <sheetFormatPr baseColWidth="10" defaultColWidth="11.6640625" defaultRowHeight="15" x14ac:dyDescent="0.2"/>
  <cols>
    <col min="1" max="1" width="1.6640625" customWidth="1"/>
    <col min="2" max="4" width="10.6640625" customWidth="1"/>
    <col min="5" max="7" width="15.6640625" customWidth="1"/>
    <col min="8" max="8" width="23.6640625" bestFit="1" customWidth="1"/>
  </cols>
  <sheetData>
    <row r="1" spans="2:12" ht="7" customHeight="1" x14ac:dyDescent="0.2"/>
    <row r="2" spans="2:12" ht="19" x14ac:dyDescent="0.25">
      <c r="B2" s="16" t="s">
        <v>916</v>
      </c>
      <c r="C2" s="16"/>
      <c r="D2" s="16"/>
      <c r="F2" s="1"/>
    </row>
    <row r="3" spans="2:12" ht="16" x14ac:dyDescent="0.2">
      <c r="B3" s="149" t="s">
        <v>915</v>
      </c>
      <c r="C3" s="14"/>
      <c r="D3" s="14"/>
      <c r="G3" s="57"/>
      <c r="H3" s="11"/>
    </row>
    <row r="4" spans="2:12" ht="16" x14ac:dyDescent="0.2">
      <c r="B4" s="4"/>
      <c r="C4" s="4"/>
      <c r="D4" s="4"/>
      <c r="G4" s="11"/>
    </row>
    <row r="5" spans="2:12" ht="96" x14ac:dyDescent="0.2">
      <c r="B5" s="34" t="s">
        <v>788</v>
      </c>
      <c r="C5" s="34" t="s">
        <v>839</v>
      </c>
      <c r="D5" s="34" t="s">
        <v>840</v>
      </c>
      <c r="E5" s="13" t="s">
        <v>999</v>
      </c>
      <c r="F5" s="13" t="s">
        <v>798</v>
      </c>
      <c r="G5" s="13" t="s">
        <v>804</v>
      </c>
      <c r="H5" s="13" t="s">
        <v>810</v>
      </c>
      <c r="K5" s="148" t="s">
        <v>913</v>
      </c>
    </row>
    <row r="6" spans="2:12" ht="16" x14ac:dyDescent="0.2">
      <c r="B6" s="9" t="s">
        <v>20</v>
      </c>
      <c r="C6" s="9">
        <v>22</v>
      </c>
      <c r="D6" s="9" t="str">
        <f t="shared" ref="D6:D37" si="0">VLOOKUP(C6,$K$7:$L$51,2,FALSE)</f>
        <v>18-25</v>
      </c>
      <c r="E6" s="9">
        <v>10</v>
      </c>
      <c r="F6" s="62" t="s">
        <v>799</v>
      </c>
      <c r="G6" s="62" t="s">
        <v>807</v>
      </c>
      <c r="H6" s="68"/>
      <c r="K6" s="13" t="s">
        <v>839</v>
      </c>
      <c r="L6" s="13" t="s">
        <v>840</v>
      </c>
    </row>
    <row r="7" spans="2:12" x14ac:dyDescent="0.2">
      <c r="B7" s="9" t="s">
        <v>20</v>
      </c>
      <c r="C7" s="9">
        <v>22</v>
      </c>
      <c r="D7" s="9" t="str">
        <f t="shared" si="0"/>
        <v>18-25</v>
      </c>
      <c r="E7" s="9">
        <v>9</v>
      </c>
      <c r="F7" s="62" t="s">
        <v>799</v>
      </c>
      <c r="G7" s="62" t="s">
        <v>807</v>
      </c>
      <c r="H7" s="68"/>
      <c r="K7" s="9">
        <v>21</v>
      </c>
      <c r="L7" s="9" t="s">
        <v>841</v>
      </c>
    </row>
    <row r="8" spans="2:12" x14ac:dyDescent="0.2">
      <c r="B8" s="9" t="s">
        <v>20</v>
      </c>
      <c r="C8" s="9">
        <v>21</v>
      </c>
      <c r="D8" s="9" t="str">
        <f t="shared" si="0"/>
        <v>18-25</v>
      </c>
      <c r="E8" s="9">
        <v>6</v>
      </c>
      <c r="F8" s="62" t="s">
        <v>799</v>
      </c>
      <c r="G8" s="62" t="s">
        <v>808</v>
      </c>
      <c r="H8" s="62" t="s">
        <v>811</v>
      </c>
      <c r="K8" s="9">
        <f>K7+1</f>
        <v>22</v>
      </c>
      <c r="L8" s="9" t="s">
        <v>841</v>
      </c>
    </row>
    <row r="9" spans="2:12" x14ac:dyDescent="0.2">
      <c r="B9" s="9" t="s">
        <v>20</v>
      </c>
      <c r="C9" s="9">
        <v>25</v>
      </c>
      <c r="D9" s="9" t="str">
        <f t="shared" si="0"/>
        <v>18-25</v>
      </c>
      <c r="E9" s="9">
        <v>5</v>
      </c>
      <c r="F9" s="62" t="s">
        <v>799</v>
      </c>
      <c r="G9" s="62" t="s">
        <v>808</v>
      </c>
      <c r="H9" s="62" t="s">
        <v>813</v>
      </c>
      <c r="K9" s="9">
        <f t="shared" ref="K9:K51" si="1">K8+1</f>
        <v>23</v>
      </c>
      <c r="L9" s="9" t="s">
        <v>841</v>
      </c>
    </row>
    <row r="10" spans="2:12" x14ac:dyDescent="0.2">
      <c r="B10" s="9" t="s">
        <v>20</v>
      </c>
      <c r="C10" s="9">
        <v>22</v>
      </c>
      <c r="D10" s="9" t="str">
        <f t="shared" si="0"/>
        <v>18-25</v>
      </c>
      <c r="E10" s="9">
        <v>10</v>
      </c>
      <c r="F10" s="62" t="s">
        <v>799</v>
      </c>
      <c r="G10" s="62" t="s">
        <v>806</v>
      </c>
      <c r="H10" s="68"/>
      <c r="K10" s="9">
        <f t="shared" si="1"/>
        <v>24</v>
      </c>
      <c r="L10" s="9" t="s">
        <v>841</v>
      </c>
    </row>
    <row r="11" spans="2:12" x14ac:dyDescent="0.2">
      <c r="B11" s="9" t="s">
        <v>20</v>
      </c>
      <c r="C11" s="9">
        <v>24</v>
      </c>
      <c r="D11" s="9" t="str">
        <f t="shared" si="0"/>
        <v>18-25</v>
      </c>
      <c r="E11" s="9">
        <v>6</v>
      </c>
      <c r="F11" s="62" t="s">
        <v>799</v>
      </c>
      <c r="G11" s="62" t="s">
        <v>805</v>
      </c>
      <c r="H11" s="68"/>
      <c r="K11" s="9">
        <f t="shared" si="1"/>
        <v>25</v>
      </c>
      <c r="L11" s="9" t="s">
        <v>841</v>
      </c>
    </row>
    <row r="12" spans="2:12" x14ac:dyDescent="0.2">
      <c r="B12" s="9" t="s">
        <v>20</v>
      </c>
      <c r="C12" s="9">
        <v>23</v>
      </c>
      <c r="D12" s="9" t="str">
        <f t="shared" si="0"/>
        <v>18-25</v>
      </c>
      <c r="E12" s="9">
        <v>9</v>
      </c>
      <c r="F12" s="62" t="s">
        <v>800</v>
      </c>
      <c r="G12" s="62" t="s">
        <v>808</v>
      </c>
      <c r="H12" s="62" t="s">
        <v>813</v>
      </c>
      <c r="K12" s="9">
        <f t="shared" si="1"/>
        <v>26</v>
      </c>
      <c r="L12" s="9" t="s">
        <v>842</v>
      </c>
    </row>
    <row r="13" spans="2:12" x14ac:dyDescent="0.2">
      <c r="B13" s="9" t="s">
        <v>20</v>
      </c>
      <c r="C13" s="9">
        <v>24</v>
      </c>
      <c r="D13" s="9" t="str">
        <f t="shared" si="0"/>
        <v>18-25</v>
      </c>
      <c r="E13" s="9">
        <v>6</v>
      </c>
      <c r="F13" s="62" t="s">
        <v>800</v>
      </c>
      <c r="G13" s="62" t="s">
        <v>808</v>
      </c>
      <c r="H13" s="62" t="s">
        <v>812</v>
      </c>
      <c r="K13" s="9">
        <f t="shared" si="1"/>
        <v>27</v>
      </c>
      <c r="L13" s="9" t="s">
        <v>842</v>
      </c>
    </row>
    <row r="14" spans="2:12" x14ac:dyDescent="0.2">
      <c r="B14" s="9" t="s">
        <v>20</v>
      </c>
      <c r="C14" s="9">
        <v>25</v>
      </c>
      <c r="D14" s="9" t="str">
        <f t="shared" si="0"/>
        <v>18-25</v>
      </c>
      <c r="E14" s="9">
        <v>6</v>
      </c>
      <c r="F14" s="62" t="s">
        <v>800</v>
      </c>
      <c r="G14" s="62" t="s">
        <v>806</v>
      </c>
      <c r="H14" s="68"/>
      <c r="K14" s="9">
        <f t="shared" si="1"/>
        <v>28</v>
      </c>
      <c r="L14" s="9" t="s">
        <v>842</v>
      </c>
    </row>
    <row r="15" spans="2:12" x14ac:dyDescent="0.2">
      <c r="B15" s="9" t="s">
        <v>20</v>
      </c>
      <c r="C15" s="9">
        <v>21</v>
      </c>
      <c r="D15" s="9" t="str">
        <f t="shared" si="0"/>
        <v>18-25</v>
      </c>
      <c r="E15" s="9">
        <v>10</v>
      </c>
      <c r="F15" s="62" t="s">
        <v>1000</v>
      </c>
      <c r="G15" s="62" t="s">
        <v>807</v>
      </c>
      <c r="H15" s="68"/>
      <c r="K15" s="9">
        <f t="shared" si="1"/>
        <v>29</v>
      </c>
      <c r="L15" s="9" t="s">
        <v>842</v>
      </c>
    </row>
    <row r="16" spans="2:12" x14ac:dyDescent="0.2">
      <c r="B16" s="9" t="s">
        <v>20</v>
      </c>
      <c r="C16" s="9">
        <v>23</v>
      </c>
      <c r="D16" s="9" t="str">
        <f t="shared" si="0"/>
        <v>18-25</v>
      </c>
      <c r="E16" s="9">
        <v>10</v>
      </c>
      <c r="F16" s="62" t="s">
        <v>1000</v>
      </c>
      <c r="G16" s="62" t="s">
        <v>807</v>
      </c>
      <c r="H16" s="68"/>
      <c r="K16" s="9">
        <f t="shared" si="1"/>
        <v>30</v>
      </c>
      <c r="L16" s="9" t="s">
        <v>842</v>
      </c>
    </row>
    <row r="17" spans="2:12" x14ac:dyDescent="0.2">
      <c r="B17" s="9" t="s">
        <v>20</v>
      </c>
      <c r="C17" s="9">
        <v>21</v>
      </c>
      <c r="D17" s="9" t="str">
        <f t="shared" si="0"/>
        <v>18-25</v>
      </c>
      <c r="E17" s="9">
        <v>9</v>
      </c>
      <c r="F17" s="62" t="s">
        <v>1000</v>
      </c>
      <c r="G17" s="62" t="s">
        <v>807</v>
      </c>
      <c r="H17" s="68"/>
      <c r="K17" s="9">
        <f t="shared" si="1"/>
        <v>31</v>
      </c>
      <c r="L17" s="9" t="s">
        <v>842</v>
      </c>
    </row>
    <row r="18" spans="2:12" x14ac:dyDescent="0.2">
      <c r="B18" s="9" t="s">
        <v>20</v>
      </c>
      <c r="C18" s="9">
        <v>21</v>
      </c>
      <c r="D18" s="9" t="str">
        <f t="shared" si="0"/>
        <v>18-25</v>
      </c>
      <c r="E18" s="9">
        <v>9</v>
      </c>
      <c r="F18" s="62" t="s">
        <v>801</v>
      </c>
      <c r="G18" s="62" t="s">
        <v>805</v>
      </c>
      <c r="H18" s="68"/>
      <c r="K18" s="9">
        <f t="shared" si="1"/>
        <v>32</v>
      </c>
      <c r="L18" s="9" t="s">
        <v>842</v>
      </c>
    </row>
    <row r="19" spans="2:12" x14ac:dyDescent="0.2">
      <c r="B19" s="9" t="s">
        <v>20</v>
      </c>
      <c r="C19" s="9">
        <v>23</v>
      </c>
      <c r="D19" s="9" t="str">
        <f t="shared" si="0"/>
        <v>18-25</v>
      </c>
      <c r="E19" s="9">
        <v>9</v>
      </c>
      <c r="F19" s="62" t="s">
        <v>801</v>
      </c>
      <c r="G19" s="62" t="s">
        <v>805</v>
      </c>
      <c r="H19" s="68"/>
      <c r="K19" s="9">
        <f t="shared" si="1"/>
        <v>33</v>
      </c>
      <c r="L19" s="9" t="s">
        <v>842</v>
      </c>
    </row>
    <row r="20" spans="2:12" x14ac:dyDescent="0.2">
      <c r="B20" s="9" t="s">
        <v>20</v>
      </c>
      <c r="C20" s="9">
        <v>21</v>
      </c>
      <c r="D20" s="9" t="str">
        <f t="shared" si="0"/>
        <v>18-25</v>
      </c>
      <c r="E20" s="9">
        <v>10</v>
      </c>
      <c r="F20" s="62" t="s">
        <v>802</v>
      </c>
      <c r="G20" s="62" t="s">
        <v>808</v>
      </c>
      <c r="H20" s="62" t="s">
        <v>813</v>
      </c>
      <c r="K20" s="9">
        <f t="shared" si="1"/>
        <v>34</v>
      </c>
      <c r="L20" s="9" t="s">
        <v>842</v>
      </c>
    </row>
    <row r="21" spans="2:12" x14ac:dyDescent="0.2">
      <c r="B21" s="9" t="s">
        <v>20</v>
      </c>
      <c r="C21" s="9">
        <v>25</v>
      </c>
      <c r="D21" s="9" t="str">
        <f t="shared" si="0"/>
        <v>18-25</v>
      </c>
      <c r="E21" s="9">
        <v>9</v>
      </c>
      <c r="F21" s="62" t="s">
        <v>802</v>
      </c>
      <c r="G21" s="62" t="s">
        <v>806</v>
      </c>
      <c r="H21" s="68"/>
      <c r="K21" s="9">
        <f t="shared" si="1"/>
        <v>35</v>
      </c>
      <c r="L21" s="9" t="s">
        <v>842</v>
      </c>
    </row>
    <row r="22" spans="2:12" x14ac:dyDescent="0.2">
      <c r="B22" s="9" t="s">
        <v>20</v>
      </c>
      <c r="C22" s="9">
        <v>22</v>
      </c>
      <c r="D22" s="9" t="str">
        <f t="shared" si="0"/>
        <v>18-25</v>
      </c>
      <c r="E22" s="9">
        <v>9</v>
      </c>
      <c r="F22" s="62" t="s">
        <v>803</v>
      </c>
      <c r="G22" s="62" t="s">
        <v>807</v>
      </c>
      <c r="H22" s="68"/>
      <c r="K22" s="9">
        <f t="shared" si="1"/>
        <v>36</v>
      </c>
      <c r="L22" s="9" t="s">
        <v>843</v>
      </c>
    </row>
    <row r="23" spans="2:12" x14ac:dyDescent="0.2">
      <c r="B23" s="9" t="s">
        <v>20</v>
      </c>
      <c r="C23" s="9">
        <v>21</v>
      </c>
      <c r="D23" s="9" t="str">
        <f t="shared" si="0"/>
        <v>18-25</v>
      </c>
      <c r="E23" s="9">
        <v>9</v>
      </c>
      <c r="F23" s="62" t="s">
        <v>801</v>
      </c>
      <c r="G23" s="62" t="s">
        <v>806</v>
      </c>
      <c r="H23" s="68"/>
      <c r="K23" s="9">
        <f t="shared" si="1"/>
        <v>37</v>
      </c>
      <c r="L23" s="9" t="s">
        <v>843</v>
      </c>
    </row>
    <row r="24" spans="2:12" x14ac:dyDescent="0.2">
      <c r="B24" s="9" t="s">
        <v>20</v>
      </c>
      <c r="C24" s="9">
        <v>23</v>
      </c>
      <c r="D24" s="9" t="str">
        <f t="shared" si="0"/>
        <v>18-25</v>
      </c>
      <c r="E24" s="9">
        <v>9</v>
      </c>
      <c r="F24" s="62" t="s">
        <v>801</v>
      </c>
      <c r="G24" s="62" t="s">
        <v>806</v>
      </c>
      <c r="H24" s="68"/>
      <c r="K24" s="9">
        <f t="shared" si="1"/>
        <v>38</v>
      </c>
      <c r="L24" s="9" t="s">
        <v>843</v>
      </c>
    </row>
    <row r="25" spans="2:12" x14ac:dyDescent="0.2">
      <c r="B25" s="9" t="s">
        <v>20</v>
      </c>
      <c r="C25" s="9">
        <v>21</v>
      </c>
      <c r="D25" s="9" t="str">
        <f t="shared" si="0"/>
        <v>18-25</v>
      </c>
      <c r="E25" s="9">
        <v>10</v>
      </c>
      <c r="F25" s="62" t="s">
        <v>801</v>
      </c>
      <c r="G25" s="62" t="s">
        <v>805</v>
      </c>
      <c r="H25" s="68"/>
      <c r="K25" s="9">
        <f t="shared" si="1"/>
        <v>39</v>
      </c>
      <c r="L25" s="9" t="s">
        <v>843</v>
      </c>
    </row>
    <row r="26" spans="2:12" x14ac:dyDescent="0.2">
      <c r="B26" s="9" t="s">
        <v>20</v>
      </c>
      <c r="C26" s="9">
        <v>33</v>
      </c>
      <c r="D26" s="9" t="str">
        <f t="shared" si="0"/>
        <v>26-35</v>
      </c>
      <c r="E26" s="9">
        <v>9</v>
      </c>
      <c r="F26" s="62" t="s">
        <v>801</v>
      </c>
      <c r="G26" s="62" t="s">
        <v>807</v>
      </c>
      <c r="H26" s="68"/>
      <c r="K26" s="9">
        <f t="shared" si="1"/>
        <v>40</v>
      </c>
      <c r="L26" s="9" t="s">
        <v>843</v>
      </c>
    </row>
    <row r="27" spans="2:12" x14ac:dyDescent="0.2">
      <c r="B27" s="9" t="s">
        <v>20</v>
      </c>
      <c r="C27" s="9">
        <v>35</v>
      </c>
      <c r="D27" s="9" t="str">
        <f t="shared" si="0"/>
        <v>26-35</v>
      </c>
      <c r="E27" s="9">
        <v>7</v>
      </c>
      <c r="F27" s="62" t="s">
        <v>801</v>
      </c>
      <c r="G27" s="62" t="s">
        <v>807</v>
      </c>
      <c r="H27" s="68"/>
      <c r="K27" s="9">
        <f t="shared" si="1"/>
        <v>41</v>
      </c>
      <c r="L27" s="9" t="s">
        <v>843</v>
      </c>
    </row>
    <row r="28" spans="2:12" x14ac:dyDescent="0.2">
      <c r="B28" s="9" t="s">
        <v>20</v>
      </c>
      <c r="C28" s="9">
        <v>27</v>
      </c>
      <c r="D28" s="9" t="str">
        <f t="shared" si="0"/>
        <v>26-35</v>
      </c>
      <c r="E28" s="9">
        <v>7</v>
      </c>
      <c r="F28" s="62" t="s">
        <v>799</v>
      </c>
      <c r="G28" s="62" t="s">
        <v>809</v>
      </c>
      <c r="H28" s="62" t="s">
        <v>803</v>
      </c>
      <c r="K28" s="9">
        <f t="shared" si="1"/>
        <v>42</v>
      </c>
      <c r="L28" s="9" t="s">
        <v>843</v>
      </c>
    </row>
    <row r="29" spans="2:12" x14ac:dyDescent="0.2">
      <c r="B29" s="9" t="s">
        <v>20</v>
      </c>
      <c r="C29" s="9">
        <v>26</v>
      </c>
      <c r="D29" s="9" t="str">
        <f t="shared" si="0"/>
        <v>26-35</v>
      </c>
      <c r="E29" s="9">
        <v>2</v>
      </c>
      <c r="F29" s="62" t="s">
        <v>799</v>
      </c>
      <c r="G29" s="62" t="s">
        <v>808</v>
      </c>
      <c r="H29" s="62" t="s">
        <v>803</v>
      </c>
      <c r="K29" s="9">
        <f t="shared" si="1"/>
        <v>43</v>
      </c>
      <c r="L29" s="9" t="s">
        <v>843</v>
      </c>
    </row>
    <row r="30" spans="2:12" x14ac:dyDescent="0.2">
      <c r="B30" s="9" t="s">
        <v>20</v>
      </c>
      <c r="C30" s="9">
        <v>26</v>
      </c>
      <c r="D30" s="9" t="str">
        <f t="shared" si="0"/>
        <v>26-35</v>
      </c>
      <c r="E30" s="9">
        <v>9</v>
      </c>
      <c r="F30" s="62" t="s">
        <v>799</v>
      </c>
      <c r="G30" s="62" t="s">
        <v>806</v>
      </c>
      <c r="H30" s="68"/>
      <c r="K30" s="9">
        <f t="shared" si="1"/>
        <v>44</v>
      </c>
      <c r="L30" s="9" t="s">
        <v>843</v>
      </c>
    </row>
    <row r="31" spans="2:12" x14ac:dyDescent="0.2">
      <c r="B31" s="9" t="s">
        <v>20</v>
      </c>
      <c r="C31" s="9">
        <v>29</v>
      </c>
      <c r="D31" s="9" t="str">
        <f t="shared" si="0"/>
        <v>26-35</v>
      </c>
      <c r="E31" s="9">
        <v>9</v>
      </c>
      <c r="F31" s="62" t="s">
        <v>799</v>
      </c>
      <c r="G31" s="62" t="s">
        <v>805</v>
      </c>
      <c r="H31" s="68"/>
      <c r="K31" s="9">
        <f t="shared" si="1"/>
        <v>45</v>
      </c>
      <c r="L31" s="9" t="s">
        <v>843</v>
      </c>
    </row>
    <row r="32" spans="2:12" x14ac:dyDescent="0.2">
      <c r="B32" s="9" t="s">
        <v>20</v>
      </c>
      <c r="C32" s="9">
        <v>29</v>
      </c>
      <c r="D32" s="9" t="str">
        <f t="shared" si="0"/>
        <v>26-35</v>
      </c>
      <c r="E32" s="9">
        <v>9</v>
      </c>
      <c r="F32" s="62" t="s">
        <v>800</v>
      </c>
      <c r="G32" s="62" t="s">
        <v>808</v>
      </c>
      <c r="H32" s="62" t="s">
        <v>813</v>
      </c>
      <c r="K32" s="9">
        <f t="shared" si="1"/>
        <v>46</v>
      </c>
      <c r="L32" s="9" t="s">
        <v>844</v>
      </c>
    </row>
    <row r="33" spans="2:12" x14ac:dyDescent="0.2">
      <c r="B33" s="9" t="s">
        <v>20</v>
      </c>
      <c r="C33" s="9">
        <v>27</v>
      </c>
      <c r="D33" s="9" t="str">
        <f t="shared" si="0"/>
        <v>26-35</v>
      </c>
      <c r="E33" s="9">
        <v>7</v>
      </c>
      <c r="F33" s="62" t="s">
        <v>800</v>
      </c>
      <c r="G33" s="62" t="s">
        <v>806</v>
      </c>
      <c r="H33" s="68"/>
      <c r="K33" s="9">
        <f t="shared" si="1"/>
        <v>47</v>
      </c>
      <c r="L33" s="9" t="s">
        <v>844</v>
      </c>
    </row>
    <row r="34" spans="2:12" x14ac:dyDescent="0.2">
      <c r="B34" s="9" t="s">
        <v>20</v>
      </c>
      <c r="C34" s="9">
        <v>31</v>
      </c>
      <c r="D34" s="9" t="str">
        <f t="shared" si="0"/>
        <v>26-35</v>
      </c>
      <c r="E34" s="9">
        <v>10</v>
      </c>
      <c r="F34" s="62" t="s">
        <v>800</v>
      </c>
      <c r="G34" s="62" t="s">
        <v>805</v>
      </c>
      <c r="H34" s="68"/>
      <c r="K34" s="9">
        <f t="shared" si="1"/>
        <v>48</v>
      </c>
      <c r="L34" s="9" t="s">
        <v>844</v>
      </c>
    </row>
    <row r="35" spans="2:12" x14ac:dyDescent="0.2">
      <c r="B35" s="9" t="s">
        <v>20</v>
      </c>
      <c r="C35" s="9">
        <v>26</v>
      </c>
      <c r="D35" s="9" t="str">
        <f t="shared" si="0"/>
        <v>26-35</v>
      </c>
      <c r="E35" s="9">
        <v>9</v>
      </c>
      <c r="F35" s="62" t="s">
        <v>800</v>
      </c>
      <c r="G35" s="62" t="s">
        <v>805</v>
      </c>
      <c r="H35" s="68"/>
      <c r="K35" s="9">
        <f t="shared" si="1"/>
        <v>49</v>
      </c>
      <c r="L35" s="9" t="s">
        <v>844</v>
      </c>
    </row>
    <row r="36" spans="2:12" x14ac:dyDescent="0.2">
      <c r="B36" s="9" t="s">
        <v>20</v>
      </c>
      <c r="C36" s="9">
        <v>28</v>
      </c>
      <c r="D36" s="9" t="str">
        <f t="shared" si="0"/>
        <v>26-35</v>
      </c>
      <c r="E36" s="9">
        <v>10</v>
      </c>
      <c r="F36" s="62" t="s">
        <v>1000</v>
      </c>
      <c r="G36" s="62" t="s">
        <v>807</v>
      </c>
      <c r="H36" s="68"/>
      <c r="K36" s="9">
        <f t="shared" si="1"/>
        <v>50</v>
      </c>
      <c r="L36" s="9" t="s">
        <v>844</v>
      </c>
    </row>
    <row r="37" spans="2:12" x14ac:dyDescent="0.2">
      <c r="B37" s="9" t="s">
        <v>20</v>
      </c>
      <c r="C37" s="9">
        <v>29</v>
      </c>
      <c r="D37" s="9" t="str">
        <f t="shared" si="0"/>
        <v>26-35</v>
      </c>
      <c r="E37" s="9">
        <v>9</v>
      </c>
      <c r="F37" s="62" t="s">
        <v>1000</v>
      </c>
      <c r="G37" s="62" t="s">
        <v>807</v>
      </c>
      <c r="H37" s="68"/>
      <c r="K37" s="9">
        <f t="shared" si="1"/>
        <v>51</v>
      </c>
      <c r="L37" s="9" t="s">
        <v>844</v>
      </c>
    </row>
    <row r="38" spans="2:12" x14ac:dyDescent="0.2">
      <c r="B38" s="9" t="s">
        <v>20</v>
      </c>
      <c r="C38" s="9">
        <v>33</v>
      </c>
      <c r="D38" s="9" t="str">
        <f t="shared" ref="D38:D69" si="2">VLOOKUP(C38,$K$7:$L$51,2,FALSE)</f>
        <v>26-35</v>
      </c>
      <c r="E38" s="9">
        <v>9</v>
      </c>
      <c r="F38" s="62" t="s">
        <v>1000</v>
      </c>
      <c r="G38" s="62" t="s">
        <v>807</v>
      </c>
      <c r="H38" s="68"/>
      <c r="K38" s="9">
        <f t="shared" si="1"/>
        <v>52</v>
      </c>
      <c r="L38" s="9" t="s">
        <v>844</v>
      </c>
    </row>
    <row r="39" spans="2:12" x14ac:dyDescent="0.2">
      <c r="B39" s="9" t="s">
        <v>20</v>
      </c>
      <c r="C39" s="9">
        <v>28</v>
      </c>
      <c r="D39" s="9" t="str">
        <f t="shared" si="2"/>
        <v>26-35</v>
      </c>
      <c r="E39" s="9">
        <v>7</v>
      </c>
      <c r="F39" s="62" t="s">
        <v>1000</v>
      </c>
      <c r="G39" s="62" t="s">
        <v>807</v>
      </c>
      <c r="H39" s="68"/>
      <c r="K39" s="9">
        <f t="shared" si="1"/>
        <v>53</v>
      </c>
      <c r="L39" s="9" t="s">
        <v>844</v>
      </c>
    </row>
    <row r="40" spans="2:12" x14ac:dyDescent="0.2">
      <c r="B40" s="9" t="s">
        <v>20</v>
      </c>
      <c r="C40" s="9">
        <v>30</v>
      </c>
      <c r="D40" s="9" t="str">
        <f t="shared" si="2"/>
        <v>26-35</v>
      </c>
      <c r="E40" s="9">
        <v>4</v>
      </c>
      <c r="F40" s="62" t="s">
        <v>1000</v>
      </c>
      <c r="G40" s="62" t="s">
        <v>808</v>
      </c>
      <c r="H40" s="62" t="s">
        <v>814</v>
      </c>
      <c r="K40" s="9">
        <f t="shared" si="1"/>
        <v>54</v>
      </c>
      <c r="L40" s="9" t="s">
        <v>844</v>
      </c>
    </row>
    <row r="41" spans="2:12" x14ac:dyDescent="0.2">
      <c r="B41" s="9" t="s">
        <v>20</v>
      </c>
      <c r="C41" s="9">
        <v>29</v>
      </c>
      <c r="D41" s="9" t="str">
        <f t="shared" si="2"/>
        <v>26-35</v>
      </c>
      <c r="E41" s="9">
        <v>10</v>
      </c>
      <c r="F41" s="62" t="s">
        <v>802</v>
      </c>
      <c r="G41" s="62" t="s">
        <v>807</v>
      </c>
      <c r="H41" s="68"/>
      <c r="K41" s="9">
        <f t="shared" si="1"/>
        <v>55</v>
      </c>
      <c r="L41" s="9" t="s">
        <v>844</v>
      </c>
    </row>
    <row r="42" spans="2:12" x14ac:dyDescent="0.2">
      <c r="B42" s="9" t="s">
        <v>20</v>
      </c>
      <c r="C42" s="9">
        <v>29</v>
      </c>
      <c r="D42" s="9" t="str">
        <f t="shared" si="2"/>
        <v>26-35</v>
      </c>
      <c r="E42" s="9">
        <v>9</v>
      </c>
      <c r="F42" s="62" t="s">
        <v>802</v>
      </c>
      <c r="G42" s="62" t="s">
        <v>807</v>
      </c>
      <c r="H42" s="68"/>
      <c r="K42" s="9">
        <f t="shared" si="1"/>
        <v>56</v>
      </c>
      <c r="L42" s="9" t="s">
        <v>845</v>
      </c>
    </row>
    <row r="43" spans="2:12" x14ac:dyDescent="0.2">
      <c r="B43" s="9" t="s">
        <v>20</v>
      </c>
      <c r="C43" s="9">
        <v>26</v>
      </c>
      <c r="D43" s="9" t="str">
        <f t="shared" si="2"/>
        <v>26-35</v>
      </c>
      <c r="E43" s="9">
        <v>9</v>
      </c>
      <c r="F43" s="62" t="s">
        <v>802</v>
      </c>
      <c r="G43" s="62" t="s">
        <v>806</v>
      </c>
      <c r="H43" s="68"/>
      <c r="K43" s="9">
        <f t="shared" si="1"/>
        <v>57</v>
      </c>
      <c r="L43" s="9" t="s">
        <v>845</v>
      </c>
    </row>
    <row r="44" spans="2:12" x14ac:dyDescent="0.2">
      <c r="B44" s="9" t="s">
        <v>20</v>
      </c>
      <c r="C44" s="9">
        <v>29</v>
      </c>
      <c r="D44" s="9" t="str">
        <f t="shared" si="2"/>
        <v>26-35</v>
      </c>
      <c r="E44" s="9">
        <v>6</v>
      </c>
      <c r="F44" s="62" t="s">
        <v>802</v>
      </c>
      <c r="G44" s="62" t="s">
        <v>806</v>
      </c>
      <c r="H44" s="68"/>
      <c r="K44" s="9">
        <f t="shared" si="1"/>
        <v>58</v>
      </c>
      <c r="L44" s="9" t="s">
        <v>845</v>
      </c>
    </row>
    <row r="45" spans="2:12" x14ac:dyDescent="0.2">
      <c r="B45" s="9" t="s">
        <v>20</v>
      </c>
      <c r="C45" s="9">
        <v>35</v>
      </c>
      <c r="D45" s="9" t="str">
        <f t="shared" si="2"/>
        <v>26-35</v>
      </c>
      <c r="E45" s="9">
        <v>4</v>
      </c>
      <c r="F45" s="62" t="s">
        <v>802</v>
      </c>
      <c r="G45" s="62" t="s">
        <v>806</v>
      </c>
      <c r="H45" s="68"/>
      <c r="K45" s="9">
        <f t="shared" si="1"/>
        <v>59</v>
      </c>
      <c r="L45" s="9" t="s">
        <v>845</v>
      </c>
    </row>
    <row r="46" spans="2:12" x14ac:dyDescent="0.2">
      <c r="B46" s="9" t="s">
        <v>20</v>
      </c>
      <c r="C46" s="9">
        <v>33</v>
      </c>
      <c r="D46" s="9" t="str">
        <f t="shared" si="2"/>
        <v>26-35</v>
      </c>
      <c r="E46" s="9">
        <v>8</v>
      </c>
      <c r="F46" s="62" t="s">
        <v>802</v>
      </c>
      <c r="G46" s="62" t="s">
        <v>805</v>
      </c>
      <c r="H46" s="68"/>
      <c r="K46" s="9">
        <f t="shared" si="1"/>
        <v>60</v>
      </c>
      <c r="L46" s="9" t="s">
        <v>845</v>
      </c>
    </row>
    <row r="47" spans="2:12" x14ac:dyDescent="0.2">
      <c r="B47" s="9" t="s">
        <v>20</v>
      </c>
      <c r="C47" s="9">
        <v>31</v>
      </c>
      <c r="D47" s="9" t="str">
        <f t="shared" si="2"/>
        <v>26-35</v>
      </c>
      <c r="E47" s="9">
        <v>9</v>
      </c>
      <c r="F47" s="62" t="s">
        <v>803</v>
      </c>
      <c r="G47" s="62" t="s">
        <v>807</v>
      </c>
      <c r="H47" s="68"/>
      <c r="K47" s="9">
        <f t="shared" si="1"/>
        <v>61</v>
      </c>
      <c r="L47" s="9" t="s">
        <v>845</v>
      </c>
    </row>
    <row r="48" spans="2:12" x14ac:dyDescent="0.2">
      <c r="B48" s="9" t="s">
        <v>20</v>
      </c>
      <c r="C48" s="9">
        <v>26</v>
      </c>
      <c r="D48" s="9" t="str">
        <f t="shared" si="2"/>
        <v>26-35</v>
      </c>
      <c r="E48" s="9">
        <v>6</v>
      </c>
      <c r="F48" s="62" t="s">
        <v>803</v>
      </c>
      <c r="G48" s="62" t="s">
        <v>807</v>
      </c>
      <c r="H48" s="68"/>
      <c r="K48" s="9">
        <f t="shared" si="1"/>
        <v>62</v>
      </c>
      <c r="L48" s="9" t="s">
        <v>845</v>
      </c>
    </row>
    <row r="49" spans="2:12" x14ac:dyDescent="0.2">
      <c r="B49" s="9" t="s">
        <v>20</v>
      </c>
      <c r="C49" s="9">
        <v>27</v>
      </c>
      <c r="D49" s="9" t="str">
        <f t="shared" si="2"/>
        <v>26-35</v>
      </c>
      <c r="E49" s="9">
        <v>9</v>
      </c>
      <c r="F49" s="62" t="s">
        <v>803</v>
      </c>
      <c r="G49" s="62" t="s">
        <v>808</v>
      </c>
      <c r="H49" s="62" t="s">
        <v>813</v>
      </c>
      <c r="K49" s="9">
        <f t="shared" si="1"/>
        <v>63</v>
      </c>
      <c r="L49" s="9" t="s">
        <v>845</v>
      </c>
    </row>
    <row r="50" spans="2:12" x14ac:dyDescent="0.2">
      <c r="B50" s="9" t="s">
        <v>20</v>
      </c>
      <c r="C50" s="9">
        <v>26</v>
      </c>
      <c r="D50" s="9" t="str">
        <f t="shared" si="2"/>
        <v>26-35</v>
      </c>
      <c r="E50" s="9">
        <v>8</v>
      </c>
      <c r="F50" s="62" t="s">
        <v>803</v>
      </c>
      <c r="G50" s="62" t="s">
        <v>805</v>
      </c>
      <c r="H50" s="68"/>
      <c r="K50" s="9">
        <f t="shared" si="1"/>
        <v>64</v>
      </c>
      <c r="L50" s="9" t="s">
        <v>845</v>
      </c>
    </row>
    <row r="51" spans="2:12" x14ac:dyDescent="0.2">
      <c r="B51" s="9" t="s">
        <v>20</v>
      </c>
      <c r="C51" s="9">
        <v>27</v>
      </c>
      <c r="D51" s="9" t="str">
        <f t="shared" si="2"/>
        <v>26-35</v>
      </c>
      <c r="E51" s="9">
        <v>10</v>
      </c>
      <c r="F51" s="62" t="s">
        <v>801</v>
      </c>
      <c r="G51" s="62" t="s">
        <v>807</v>
      </c>
      <c r="H51" s="68"/>
      <c r="K51" s="9">
        <f t="shared" si="1"/>
        <v>65</v>
      </c>
      <c r="L51" s="9" t="s">
        <v>845</v>
      </c>
    </row>
    <row r="52" spans="2:12" x14ac:dyDescent="0.2">
      <c r="B52" s="9" t="s">
        <v>20</v>
      </c>
      <c r="C52" s="9">
        <v>31</v>
      </c>
      <c r="D52" s="9" t="str">
        <f t="shared" si="2"/>
        <v>26-35</v>
      </c>
      <c r="E52" s="9">
        <v>10</v>
      </c>
      <c r="F52" s="62" t="s">
        <v>801</v>
      </c>
      <c r="G52" s="62" t="s">
        <v>807</v>
      </c>
      <c r="H52" s="68"/>
    </row>
    <row r="53" spans="2:12" x14ac:dyDescent="0.2">
      <c r="B53" s="9" t="s">
        <v>20</v>
      </c>
      <c r="C53" s="9">
        <v>33</v>
      </c>
      <c r="D53" s="9" t="str">
        <f t="shared" si="2"/>
        <v>26-35</v>
      </c>
      <c r="E53" s="9">
        <v>10</v>
      </c>
      <c r="F53" s="62" t="s">
        <v>801</v>
      </c>
      <c r="G53" s="62" t="s">
        <v>807</v>
      </c>
      <c r="H53" s="68"/>
    </row>
    <row r="54" spans="2:12" x14ac:dyDescent="0.2">
      <c r="B54" s="9" t="s">
        <v>20</v>
      </c>
      <c r="C54" s="9">
        <v>27</v>
      </c>
      <c r="D54" s="9" t="str">
        <f t="shared" si="2"/>
        <v>26-35</v>
      </c>
      <c r="E54" s="9">
        <v>7</v>
      </c>
      <c r="F54" s="62" t="s">
        <v>801</v>
      </c>
      <c r="G54" s="62" t="s">
        <v>807</v>
      </c>
      <c r="H54" s="68"/>
    </row>
    <row r="55" spans="2:12" x14ac:dyDescent="0.2">
      <c r="B55" s="9" t="s">
        <v>20</v>
      </c>
      <c r="C55" s="9">
        <v>34</v>
      </c>
      <c r="D55" s="9" t="str">
        <f t="shared" si="2"/>
        <v>26-35</v>
      </c>
      <c r="E55" s="9">
        <v>6</v>
      </c>
      <c r="F55" s="62" t="s">
        <v>801</v>
      </c>
      <c r="G55" s="62" t="s">
        <v>806</v>
      </c>
      <c r="H55" s="68"/>
    </row>
    <row r="56" spans="2:12" x14ac:dyDescent="0.2">
      <c r="B56" s="9" t="s">
        <v>20</v>
      </c>
      <c r="C56" s="9">
        <v>29</v>
      </c>
      <c r="D56" s="9" t="str">
        <f t="shared" si="2"/>
        <v>26-35</v>
      </c>
      <c r="E56" s="9">
        <v>9</v>
      </c>
      <c r="F56" s="62" t="s">
        <v>801</v>
      </c>
      <c r="G56" s="62" t="s">
        <v>805</v>
      </c>
      <c r="H56" s="68"/>
    </row>
    <row r="57" spans="2:12" x14ac:dyDescent="0.2">
      <c r="B57" s="9" t="s">
        <v>20</v>
      </c>
      <c r="C57" s="9">
        <v>29</v>
      </c>
      <c r="D57" s="9" t="str">
        <f t="shared" si="2"/>
        <v>26-35</v>
      </c>
      <c r="E57" s="9">
        <v>9</v>
      </c>
      <c r="F57" s="62" t="s">
        <v>801</v>
      </c>
      <c r="G57" s="62" t="s">
        <v>805</v>
      </c>
      <c r="H57" s="68"/>
    </row>
    <row r="58" spans="2:12" x14ac:dyDescent="0.2">
      <c r="B58" s="9" t="s">
        <v>20</v>
      </c>
      <c r="C58" s="9">
        <v>28</v>
      </c>
      <c r="D58" s="9" t="str">
        <f t="shared" si="2"/>
        <v>26-35</v>
      </c>
      <c r="E58" s="9">
        <v>8</v>
      </c>
      <c r="F58" s="62" t="s">
        <v>801</v>
      </c>
      <c r="G58" s="62" t="s">
        <v>805</v>
      </c>
      <c r="H58" s="68"/>
    </row>
    <row r="59" spans="2:12" x14ac:dyDescent="0.2">
      <c r="B59" s="9" t="s">
        <v>20</v>
      </c>
      <c r="C59" s="9">
        <v>42</v>
      </c>
      <c r="D59" s="9" t="str">
        <f t="shared" si="2"/>
        <v>36-45</v>
      </c>
      <c r="E59" s="9">
        <v>10</v>
      </c>
      <c r="F59" s="62" t="s">
        <v>799</v>
      </c>
      <c r="G59" s="62" t="s">
        <v>807</v>
      </c>
      <c r="H59" s="68"/>
    </row>
    <row r="60" spans="2:12" x14ac:dyDescent="0.2">
      <c r="B60" s="9" t="s">
        <v>20</v>
      </c>
      <c r="C60" s="9">
        <v>43</v>
      </c>
      <c r="D60" s="9" t="str">
        <f t="shared" si="2"/>
        <v>36-45</v>
      </c>
      <c r="E60" s="9">
        <v>10</v>
      </c>
      <c r="F60" s="62" t="s">
        <v>800</v>
      </c>
      <c r="G60" s="62" t="s">
        <v>807</v>
      </c>
      <c r="H60" s="68"/>
    </row>
    <row r="61" spans="2:12" x14ac:dyDescent="0.2">
      <c r="B61" s="9" t="s">
        <v>20</v>
      </c>
      <c r="C61" s="9">
        <v>43</v>
      </c>
      <c r="D61" s="9" t="str">
        <f t="shared" si="2"/>
        <v>36-45</v>
      </c>
      <c r="E61" s="9">
        <v>7</v>
      </c>
      <c r="F61" s="62" t="s">
        <v>800</v>
      </c>
      <c r="G61" s="62" t="s">
        <v>809</v>
      </c>
      <c r="H61" s="62" t="s">
        <v>812</v>
      </c>
    </row>
    <row r="62" spans="2:12" x14ac:dyDescent="0.2">
      <c r="B62" s="9" t="s">
        <v>20</v>
      </c>
      <c r="C62" s="9">
        <v>44</v>
      </c>
      <c r="D62" s="9" t="str">
        <f t="shared" si="2"/>
        <v>36-45</v>
      </c>
      <c r="E62" s="9">
        <v>10</v>
      </c>
      <c r="F62" s="62" t="s">
        <v>800</v>
      </c>
      <c r="G62" s="62" t="s">
        <v>808</v>
      </c>
      <c r="H62" s="62" t="s">
        <v>813</v>
      </c>
    </row>
    <row r="63" spans="2:12" x14ac:dyDescent="0.2">
      <c r="B63" s="9" t="s">
        <v>20</v>
      </c>
      <c r="C63" s="9">
        <v>40</v>
      </c>
      <c r="D63" s="9" t="str">
        <f t="shared" si="2"/>
        <v>36-45</v>
      </c>
      <c r="E63" s="9">
        <v>7</v>
      </c>
      <c r="F63" s="62" t="s">
        <v>800</v>
      </c>
      <c r="G63" s="62" t="s">
        <v>805</v>
      </c>
      <c r="H63" s="68"/>
    </row>
    <row r="64" spans="2:12" x14ac:dyDescent="0.2">
      <c r="B64" s="9" t="s">
        <v>20</v>
      </c>
      <c r="C64" s="9">
        <v>40</v>
      </c>
      <c r="D64" s="9" t="str">
        <f t="shared" si="2"/>
        <v>36-45</v>
      </c>
      <c r="E64" s="9">
        <v>10</v>
      </c>
      <c r="F64" s="62" t="s">
        <v>1000</v>
      </c>
      <c r="G64" s="62" t="s">
        <v>805</v>
      </c>
      <c r="H64" s="68"/>
    </row>
    <row r="65" spans="2:8" x14ac:dyDescent="0.2">
      <c r="B65" s="9" t="s">
        <v>20</v>
      </c>
      <c r="C65" s="9">
        <v>42</v>
      </c>
      <c r="D65" s="9" t="str">
        <f t="shared" si="2"/>
        <v>36-45</v>
      </c>
      <c r="E65" s="9">
        <v>9</v>
      </c>
      <c r="F65" s="62" t="s">
        <v>1000</v>
      </c>
      <c r="G65" s="62" t="s">
        <v>805</v>
      </c>
      <c r="H65" s="68"/>
    </row>
    <row r="66" spans="2:8" x14ac:dyDescent="0.2">
      <c r="B66" s="9" t="s">
        <v>20</v>
      </c>
      <c r="C66" s="9">
        <v>45</v>
      </c>
      <c r="D66" s="9" t="str">
        <f t="shared" si="2"/>
        <v>36-45</v>
      </c>
      <c r="E66" s="9">
        <v>9</v>
      </c>
      <c r="F66" s="62" t="s">
        <v>1000</v>
      </c>
      <c r="G66" s="62" t="s">
        <v>805</v>
      </c>
      <c r="H66" s="68"/>
    </row>
    <row r="67" spans="2:8" x14ac:dyDescent="0.2">
      <c r="B67" s="9" t="s">
        <v>20</v>
      </c>
      <c r="C67" s="9">
        <v>41</v>
      </c>
      <c r="D67" s="9" t="str">
        <f t="shared" si="2"/>
        <v>36-45</v>
      </c>
      <c r="E67" s="9">
        <v>7</v>
      </c>
      <c r="F67" s="62" t="s">
        <v>802</v>
      </c>
      <c r="G67" s="62" t="s">
        <v>807</v>
      </c>
      <c r="H67" s="68"/>
    </row>
    <row r="68" spans="2:8" x14ac:dyDescent="0.2">
      <c r="B68" s="9" t="s">
        <v>20</v>
      </c>
      <c r="C68" s="9">
        <v>42</v>
      </c>
      <c r="D68" s="9" t="str">
        <f t="shared" si="2"/>
        <v>36-45</v>
      </c>
      <c r="E68" s="9">
        <v>7</v>
      </c>
      <c r="F68" s="62" t="s">
        <v>802</v>
      </c>
      <c r="G68" s="62" t="s">
        <v>806</v>
      </c>
      <c r="H68" s="68"/>
    </row>
    <row r="69" spans="2:8" x14ac:dyDescent="0.2">
      <c r="B69" s="9" t="s">
        <v>20</v>
      </c>
      <c r="C69" s="9">
        <v>39</v>
      </c>
      <c r="D69" s="9" t="str">
        <f t="shared" si="2"/>
        <v>36-45</v>
      </c>
      <c r="E69" s="9">
        <v>5</v>
      </c>
      <c r="F69" s="62" t="s">
        <v>802</v>
      </c>
      <c r="G69" s="62" t="s">
        <v>806</v>
      </c>
      <c r="H69" s="68"/>
    </row>
    <row r="70" spans="2:8" x14ac:dyDescent="0.2">
      <c r="B70" s="9" t="s">
        <v>20</v>
      </c>
      <c r="C70" s="9">
        <v>38</v>
      </c>
      <c r="D70" s="9" t="str">
        <f t="shared" ref="D70:D101" si="3">VLOOKUP(C70,$K$7:$L$51,2,FALSE)</f>
        <v>36-45</v>
      </c>
      <c r="E70" s="9">
        <v>10</v>
      </c>
      <c r="F70" s="62" t="s">
        <v>801</v>
      </c>
      <c r="G70" s="62" t="s">
        <v>807</v>
      </c>
      <c r="H70" s="68"/>
    </row>
    <row r="71" spans="2:8" x14ac:dyDescent="0.2">
      <c r="B71" s="9" t="s">
        <v>20</v>
      </c>
      <c r="C71" s="9">
        <v>37</v>
      </c>
      <c r="D71" s="9" t="str">
        <f t="shared" si="3"/>
        <v>36-45</v>
      </c>
      <c r="E71" s="9">
        <v>9</v>
      </c>
      <c r="F71" s="62" t="s">
        <v>801</v>
      </c>
      <c r="G71" s="62" t="s">
        <v>807</v>
      </c>
      <c r="H71" s="68"/>
    </row>
    <row r="72" spans="2:8" x14ac:dyDescent="0.2">
      <c r="B72" s="9" t="s">
        <v>20</v>
      </c>
      <c r="C72" s="9">
        <v>37</v>
      </c>
      <c r="D72" s="9" t="str">
        <f t="shared" si="3"/>
        <v>36-45</v>
      </c>
      <c r="E72" s="9">
        <v>9</v>
      </c>
      <c r="F72" s="62" t="s">
        <v>801</v>
      </c>
      <c r="G72" s="62" t="s">
        <v>807</v>
      </c>
      <c r="H72" s="68"/>
    </row>
    <row r="73" spans="2:8" x14ac:dyDescent="0.2">
      <c r="B73" s="9" t="s">
        <v>20</v>
      </c>
      <c r="C73" s="9">
        <v>39</v>
      </c>
      <c r="D73" s="9" t="str">
        <f t="shared" si="3"/>
        <v>36-45</v>
      </c>
      <c r="E73" s="9">
        <v>5</v>
      </c>
      <c r="F73" s="62" t="s">
        <v>801</v>
      </c>
      <c r="G73" s="62" t="s">
        <v>809</v>
      </c>
      <c r="H73" s="62" t="s">
        <v>811</v>
      </c>
    </row>
    <row r="74" spans="2:8" x14ac:dyDescent="0.2">
      <c r="B74" s="9" t="s">
        <v>20</v>
      </c>
      <c r="C74" s="9">
        <v>38</v>
      </c>
      <c r="D74" s="9" t="str">
        <f t="shared" si="3"/>
        <v>36-45</v>
      </c>
      <c r="E74" s="9">
        <v>10</v>
      </c>
      <c r="F74" s="62" t="s">
        <v>801</v>
      </c>
      <c r="G74" s="62" t="s">
        <v>806</v>
      </c>
      <c r="H74" s="68"/>
    </row>
    <row r="75" spans="2:8" x14ac:dyDescent="0.2">
      <c r="B75" s="9" t="s">
        <v>20</v>
      </c>
      <c r="C75" s="9">
        <v>53</v>
      </c>
      <c r="D75" s="9" t="str">
        <f t="shared" si="3"/>
        <v>46-55</v>
      </c>
      <c r="E75" s="9">
        <v>10</v>
      </c>
      <c r="F75" s="62" t="s">
        <v>799</v>
      </c>
      <c r="G75" s="62" t="s">
        <v>807</v>
      </c>
      <c r="H75" s="68"/>
    </row>
    <row r="76" spans="2:8" x14ac:dyDescent="0.2">
      <c r="B76" s="9" t="s">
        <v>20</v>
      </c>
      <c r="C76" s="9">
        <v>49</v>
      </c>
      <c r="D76" s="9" t="str">
        <f t="shared" si="3"/>
        <v>46-55</v>
      </c>
      <c r="E76" s="9">
        <v>9</v>
      </c>
      <c r="F76" s="62" t="s">
        <v>799</v>
      </c>
      <c r="G76" s="62" t="s">
        <v>807</v>
      </c>
      <c r="H76" s="68"/>
    </row>
    <row r="77" spans="2:8" x14ac:dyDescent="0.2">
      <c r="B77" s="9" t="s">
        <v>20</v>
      </c>
      <c r="C77" s="9">
        <v>54</v>
      </c>
      <c r="D77" s="9" t="str">
        <f t="shared" si="3"/>
        <v>46-55</v>
      </c>
      <c r="E77" s="9">
        <v>1</v>
      </c>
      <c r="F77" s="62" t="s">
        <v>799</v>
      </c>
      <c r="G77" s="62" t="s">
        <v>808</v>
      </c>
      <c r="H77" s="68"/>
    </row>
    <row r="78" spans="2:8" x14ac:dyDescent="0.2">
      <c r="B78" s="9" t="s">
        <v>20</v>
      </c>
      <c r="C78" s="9">
        <v>50</v>
      </c>
      <c r="D78" s="9" t="str">
        <f t="shared" si="3"/>
        <v>46-55</v>
      </c>
      <c r="E78" s="9">
        <v>9</v>
      </c>
      <c r="F78" s="62" t="s">
        <v>800</v>
      </c>
      <c r="G78" s="62" t="s">
        <v>807</v>
      </c>
      <c r="H78" s="68"/>
    </row>
    <row r="79" spans="2:8" x14ac:dyDescent="0.2">
      <c r="B79" s="9" t="s">
        <v>20</v>
      </c>
      <c r="C79" s="9">
        <v>46</v>
      </c>
      <c r="D79" s="9" t="str">
        <f t="shared" si="3"/>
        <v>46-55</v>
      </c>
      <c r="E79" s="9">
        <v>7</v>
      </c>
      <c r="F79" s="62" t="s">
        <v>800</v>
      </c>
      <c r="G79" s="62" t="s">
        <v>807</v>
      </c>
      <c r="H79" s="68"/>
    </row>
    <row r="80" spans="2:8" x14ac:dyDescent="0.2">
      <c r="B80" s="9" t="s">
        <v>20</v>
      </c>
      <c r="C80" s="9">
        <v>49</v>
      </c>
      <c r="D80" s="9" t="str">
        <f t="shared" si="3"/>
        <v>46-55</v>
      </c>
      <c r="E80" s="9">
        <v>9</v>
      </c>
      <c r="F80" s="62" t="s">
        <v>1000</v>
      </c>
      <c r="G80" s="62" t="s">
        <v>807</v>
      </c>
      <c r="H80" s="68"/>
    </row>
    <row r="81" spans="2:8" x14ac:dyDescent="0.2">
      <c r="B81" s="9" t="s">
        <v>20</v>
      </c>
      <c r="C81" s="9">
        <v>50</v>
      </c>
      <c r="D81" s="9" t="str">
        <f t="shared" si="3"/>
        <v>46-55</v>
      </c>
      <c r="E81" s="9">
        <v>9</v>
      </c>
      <c r="F81" s="62" t="s">
        <v>1000</v>
      </c>
      <c r="G81" s="62" t="s">
        <v>806</v>
      </c>
      <c r="H81" s="68"/>
    </row>
    <row r="82" spans="2:8" x14ac:dyDescent="0.2">
      <c r="B82" s="9" t="s">
        <v>20</v>
      </c>
      <c r="C82" s="9">
        <v>53</v>
      </c>
      <c r="D82" s="9" t="str">
        <f t="shared" si="3"/>
        <v>46-55</v>
      </c>
      <c r="E82" s="9">
        <v>7</v>
      </c>
      <c r="F82" s="62" t="s">
        <v>1000</v>
      </c>
      <c r="G82" s="62" t="s">
        <v>805</v>
      </c>
      <c r="H82" s="68"/>
    </row>
    <row r="83" spans="2:8" x14ac:dyDescent="0.2">
      <c r="B83" s="9" t="s">
        <v>20</v>
      </c>
      <c r="C83" s="9">
        <v>47</v>
      </c>
      <c r="D83" s="9" t="str">
        <f t="shared" si="3"/>
        <v>46-55</v>
      </c>
      <c r="E83" s="9">
        <v>7</v>
      </c>
      <c r="F83" s="62" t="s">
        <v>802</v>
      </c>
      <c r="G83" s="62" t="s">
        <v>806</v>
      </c>
      <c r="H83" s="68"/>
    </row>
    <row r="84" spans="2:8" x14ac:dyDescent="0.2">
      <c r="B84" s="9" t="s">
        <v>20</v>
      </c>
      <c r="C84" s="9">
        <v>51</v>
      </c>
      <c r="D84" s="9" t="str">
        <f t="shared" si="3"/>
        <v>46-55</v>
      </c>
      <c r="E84" s="9">
        <v>8</v>
      </c>
      <c r="F84" s="62" t="s">
        <v>803</v>
      </c>
      <c r="G84" s="62" t="s">
        <v>805</v>
      </c>
      <c r="H84" s="68"/>
    </row>
    <row r="85" spans="2:8" x14ac:dyDescent="0.2">
      <c r="B85" s="9" t="s">
        <v>20</v>
      </c>
      <c r="C85" s="9">
        <v>51</v>
      </c>
      <c r="D85" s="9" t="str">
        <f t="shared" si="3"/>
        <v>46-55</v>
      </c>
      <c r="E85" s="9">
        <v>8</v>
      </c>
      <c r="F85" s="62" t="s">
        <v>801</v>
      </c>
      <c r="G85" s="62" t="s">
        <v>807</v>
      </c>
      <c r="H85" s="68"/>
    </row>
    <row r="86" spans="2:8" x14ac:dyDescent="0.2">
      <c r="B86" s="9" t="s">
        <v>20</v>
      </c>
      <c r="C86" s="9">
        <v>63</v>
      </c>
      <c r="D86" s="9" t="str">
        <f t="shared" si="3"/>
        <v>55+</v>
      </c>
      <c r="E86" s="9">
        <v>8</v>
      </c>
      <c r="F86" s="62" t="s">
        <v>799</v>
      </c>
      <c r="G86" s="62" t="s">
        <v>807</v>
      </c>
      <c r="H86" s="68"/>
    </row>
    <row r="87" spans="2:8" x14ac:dyDescent="0.2">
      <c r="B87" s="9" t="s">
        <v>20</v>
      </c>
      <c r="C87" s="9">
        <v>63</v>
      </c>
      <c r="D87" s="9" t="str">
        <f t="shared" si="3"/>
        <v>55+</v>
      </c>
      <c r="E87" s="9">
        <v>7</v>
      </c>
      <c r="F87" s="62" t="s">
        <v>799</v>
      </c>
      <c r="G87" s="62" t="s">
        <v>807</v>
      </c>
      <c r="H87" s="68"/>
    </row>
    <row r="88" spans="2:8" x14ac:dyDescent="0.2">
      <c r="B88" s="9" t="s">
        <v>20</v>
      </c>
      <c r="C88" s="9">
        <v>65</v>
      </c>
      <c r="D88" s="9" t="str">
        <f t="shared" si="3"/>
        <v>55+</v>
      </c>
      <c r="E88" s="9">
        <v>7</v>
      </c>
      <c r="F88" s="62" t="s">
        <v>799</v>
      </c>
      <c r="G88" s="62" t="s">
        <v>807</v>
      </c>
      <c r="H88" s="68"/>
    </row>
    <row r="89" spans="2:8" x14ac:dyDescent="0.2">
      <c r="B89" s="9" t="s">
        <v>20</v>
      </c>
      <c r="C89" s="9">
        <v>61</v>
      </c>
      <c r="D89" s="9" t="str">
        <f t="shared" si="3"/>
        <v>55+</v>
      </c>
      <c r="E89" s="9">
        <v>5</v>
      </c>
      <c r="F89" s="62" t="s">
        <v>799</v>
      </c>
      <c r="G89" s="62" t="s">
        <v>809</v>
      </c>
      <c r="H89" s="62" t="s">
        <v>811</v>
      </c>
    </row>
    <row r="90" spans="2:8" x14ac:dyDescent="0.2">
      <c r="B90" s="9" t="s">
        <v>20</v>
      </c>
      <c r="C90" s="9">
        <v>57</v>
      </c>
      <c r="D90" s="9" t="str">
        <f t="shared" si="3"/>
        <v>55+</v>
      </c>
      <c r="E90" s="9">
        <v>10</v>
      </c>
      <c r="F90" s="62" t="s">
        <v>1000</v>
      </c>
      <c r="G90" s="62" t="s">
        <v>807</v>
      </c>
      <c r="H90" s="68"/>
    </row>
    <row r="91" spans="2:8" x14ac:dyDescent="0.2">
      <c r="B91" s="9" t="s">
        <v>20</v>
      </c>
      <c r="C91" s="9">
        <v>57</v>
      </c>
      <c r="D91" s="9" t="str">
        <f t="shared" si="3"/>
        <v>55+</v>
      </c>
      <c r="E91" s="9">
        <v>9</v>
      </c>
      <c r="F91" s="62" t="s">
        <v>802</v>
      </c>
      <c r="G91" s="62" t="s">
        <v>807</v>
      </c>
      <c r="H91" s="68"/>
    </row>
    <row r="92" spans="2:8" x14ac:dyDescent="0.2">
      <c r="B92" s="9" t="s">
        <v>20</v>
      </c>
      <c r="C92" s="9">
        <v>61</v>
      </c>
      <c r="D92" s="9" t="str">
        <f t="shared" si="3"/>
        <v>55+</v>
      </c>
      <c r="E92" s="9">
        <v>0</v>
      </c>
      <c r="F92" s="62" t="s">
        <v>802</v>
      </c>
      <c r="G92" s="62" t="s">
        <v>808</v>
      </c>
      <c r="H92" s="62" t="s">
        <v>812</v>
      </c>
    </row>
    <row r="93" spans="2:8" x14ac:dyDescent="0.2">
      <c r="B93" s="9" t="s">
        <v>20</v>
      </c>
      <c r="C93" s="9">
        <v>61</v>
      </c>
      <c r="D93" s="9" t="str">
        <f t="shared" si="3"/>
        <v>55+</v>
      </c>
      <c r="E93" s="9">
        <v>5</v>
      </c>
      <c r="F93" s="62" t="s">
        <v>803</v>
      </c>
      <c r="G93" s="62" t="s">
        <v>809</v>
      </c>
      <c r="H93" s="62" t="s">
        <v>813</v>
      </c>
    </row>
    <row r="94" spans="2:8" x14ac:dyDescent="0.2">
      <c r="B94" s="9" t="s">
        <v>20</v>
      </c>
      <c r="C94" s="9">
        <v>65</v>
      </c>
      <c r="D94" s="9" t="str">
        <f t="shared" si="3"/>
        <v>55+</v>
      </c>
      <c r="E94" s="9">
        <v>10</v>
      </c>
      <c r="F94" s="62" t="s">
        <v>801</v>
      </c>
      <c r="G94" s="62" t="s">
        <v>806</v>
      </c>
      <c r="H94" s="68"/>
    </row>
    <row r="95" spans="2:8" x14ac:dyDescent="0.2">
      <c r="B95" s="9" t="s">
        <v>20</v>
      </c>
      <c r="C95" s="9">
        <v>58</v>
      </c>
      <c r="D95" s="9" t="str">
        <f t="shared" si="3"/>
        <v>55+</v>
      </c>
      <c r="E95" s="9">
        <v>10</v>
      </c>
      <c r="F95" s="62" t="s">
        <v>801</v>
      </c>
      <c r="G95" s="62" t="s">
        <v>805</v>
      </c>
      <c r="H95" s="68"/>
    </row>
    <row r="96" spans="2:8" x14ac:dyDescent="0.2">
      <c r="B96" s="9" t="s">
        <v>31</v>
      </c>
      <c r="C96" s="9">
        <v>21</v>
      </c>
      <c r="D96" s="9" t="str">
        <f t="shared" si="3"/>
        <v>18-25</v>
      </c>
      <c r="E96" s="9">
        <v>10</v>
      </c>
      <c r="F96" s="62" t="s">
        <v>799</v>
      </c>
      <c r="G96" s="62" t="s">
        <v>807</v>
      </c>
      <c r="H96" s="68"/>
    </row>
    <row r="97" spans="2:8" x14ac:dyDescent="0.2">
      <c r="B97" s="9" t="s">
        <v>31</v>
      </c>
      <c r="C97" s="9">
        <v>25</v>
      </c>
      <c r="D97" s="9" t="str">
        <f t="shared" si="3"/>
        <v>18-25</v>
      </c>
      <c r="E97" s="9">
        <v>9</v>
      </c>
      <c r="F97" s="62" t="s">
        <v>799</v>
      </c>
      <c r="G97" s="62" t="s">
        <v>807</v>
      </c>
      <c r="H97" s="68"/>
    </row>
    <row r="98" spans="2:8" x14ac:dyDescent="0.2">
      <c r="B98" s="9" t="s">
        <v>31</v>
      </c>
      <c r="C98" s="9">
        <v>21</v>
      </c>
      <c r="D98" s="9" t="str">
        <f t="shared" si="3"/>
        <v>18-25</v>
      </c>
      <c r="E98" s="9">
        <v>5</v>
      </c>
      <c r="F98" s="62" t="s">
        <v>799</v>
      </c>
      <c r="G98" s="62" t="s">
        <v>808</v>
      </c>
      <c r="H98" s="62" t="s">
        <v>811</v>
      </c>
    </row>
    <row r="99" spans="2:8" x14ac:dyDescent="0.2">
      <c r="B99" s="9" t="s">
        <v>31</v>
      </c>
      <c r="C99" s="9">
        <v>23</v>
      </c>
      <c r="D99" s="9" t="str">
        <f t="shared" si="3"/>
        <v>18-25</v>
      </c>
      <c r="E99" s="9">
        <v>10</v>
      </c>
      <c r="F99" s="62" t="s">
        <v>799</v>
      </c>
      <c r="G99" s="62" t="s">
        <v>805</v>
      </c>
      <c r="H99" s="68"/>
    </row>
    <row r="100" spans="2:8" x14ac:dyDescent="0.2">
      <c r="B100" s="9" t="s">
        <v>31</v>
      </c>
      <c r="C100" s="9">
        <v>25</v>
      </c>
      <c r="D100" s="9" t="str">
        <f t="shared" si="3"/>
        <v>18-25</v>
      </c>
      <c r="E100" s="9">
        <v>9</v>
      </c>
      <c r="F100" s="62" t="s">
        <v>799</v>
      </c>
      <c r="G100" s="62" t="s">
        <v>805</v>
      </c>
      <c r="H100" s="68"/>
    </row>
    <row r="101" spans="2:8" x14ac:dyDescent="0.2">
      <c r="B101" s="9" t="s">
        <v>31</v>
      </c>
      <c r="C101" s="9">
        <v>22</v>
      </c>
      <c r="D101" s="9" t="str">
        <f t="shared" si="3"/>
        <v>18-25</v>
      </c>
      <c r="E101" s="9">
        <v>7</v>
      </c>
      <c r="F101" s="62" t="s">
        <v>800</v>
      </c>
      <c r="G101" s="62" t="s">
        <v>809</v>
      </c>
      <c r="H101" s="62" t="s">
        <v>811</v>
      </c>
    </row>
    <row r="102" spans="2:8" x14ac:dyDescent="0.2">
      <c r="B102" s="9" t="s">
        <v>31</v>
      </c>
      <c r="C102" s="9">
        <v>22</v>
      </c>
      <c r="D102" s="9" t="str">
        <f t="shared" ref="D102:D133" si="4">VLOOKUP(C102,$K$7:$L$51,2,FALSE)</f>
        <v>18-25</v>
      </c>
      <c r="E102" s="9">
        <v>9</v>
      </c>
      <c r="F102" s="62" t="s">
        <v>800</v>
      </c>
      <c r="G102" s="62" t="s">
        <v>805</v>
      </c>
      <c r="H102" s="68"/>
    </row>
    <row r="103" spans="2:8" x14ac:dyDescent="0.2">
      <c r="B103" s="9" t="s">
        <v>31</v>
      </c>
      <c r="C103" s="9">
        <v>24</v>
      </c>
      <c r="D103" s="9" t="str">
        <f t="shared" si="4"/>
        <v>18-25</v>
      </c>
      <c r="E103" s="9">
        <v>10</v>
      </c>
      <c r="F103" s="62" t="s">
        <v>1000</v>
      </c>
      <c r="G103" s="62" t="s">
        <v>807</v>
      </c>
      <c r="H103" s="68"/>
    </row>
    <row r="104" spans="2:8" x14ac:dyDescent="0.2">
      <c r="B104" s="9" t="s">
        <v>31</v>
      </c>
      <c r="C104" s="9">
        <v>25</v>
      </c>
      <c r="D104" s="9" t="str">
        <f t="shared" si="4"/>
        <v>18-25</v>
      </c>
      <c r="E104" s="9">
        <v>10</v>
      </c>
      <c r="F104" s="62" t="s">
        <v>1000</v>
      </c>
      <c r="G104" s="62" t="s">
        <v>807</v>
      </c>
      <c r="H104" s="68"/>
    </row>
    <row r="105" spans="2:8" x14ac:dyDescent="0.2">
      <c r="B105" s="9" t="s">
        <v>31</v>
      </c>
      <c r="C105" s="9">
        <v>24</v>
      </c>
      <c r="D105" s="9" t="str">
        <f t="shared" si="4"/>
        <v>18-25</v>
      </c>
      <c r="E105" s="9">
        <v>9</v>
      </c>
      <c r="F105" s="62" t="s">
        <v>1000</v>
      </c>
      <c r="G105" s="62" t="s">
        <v>807</v>
      </c>
      <c r="H105" s="68"/>
    </row>
    <row r="106" spans="2:8" x14ac:dyDescent="0.2">
      <c r="B106" s="9" t="s">
        <v>31</v>
      </c>
      <c r="C106" s="9">
        <v>25</v>
      </c>
      <c r="D106" s="9" t="str">
        <f t="shared" si="4"/>
        <v>18-25</v>
      </c>
      <c r="E106" s="9">
        <v>9</v>
      </c>
      <c r="F106" s="62" t="s">
        <v>1000</v>
      </c>
      <c r="G106" s="62" t="s">
        <v>807</v>
      </c>
      <c r="H106" s="68"/>
    </row>
    <row r="107" spans="2:8" x14ac:dyDescent="0.2">
      <c r="B107" s="9" t="s">
        <v>31</v>
      </c>
      <c r="C107" s="9">
        <v>23</v>
      </c>
      <c r="D107" s="9" t="str">
        <f t="shared" si="4"/>
        <v>18-25</v>
      </c>
      <c r="E107" s="9">
        <v>8</v>
      </c>
      <c r="F107" s="62" t="s">
        <v>1000</v>
      </c>
      <c r="G107" s="62" t="s">
        <v>807</v>
      </c>
      <c r="H107" s="68"/>
    </row>
    <row r="108" spans="2:8" x14ac:dyDescent="0.2">
      <c r="B108" s="9" t="s">
        <v>31</v>
      </c>
      <c r="C108" s="9">
        <v>24</v>
      </c>
      <c r="D108" s="9" t="str">
        <f t="shared" si="4"/>
        <v>18-25</v>
      </c>
      <c r="E108" s="9">
        <v>7</v>
      </c>
      <c r="F108" s="62" t="s">
        <v>1000</v>
      </c>
      <c r="G108" s="62" t="s">
        <v>807</v>
      </c>
      <c r="H108" s="68"/>
    </row>
    <row r="109" spans="2:8" x14ac:dyDescent="0.2">
      <c r="B109" s="9" t="s">
        <v>31</v>
      </c>
      <c r="C109" s="9">
        <v>25</v>
      </c>
      <c r="D109" s="9" t="str">
        <f t="shared" si="4"/>
        <v>18-25</v>
      </c>
      <c r="E109" s="9">
        <v>10</v>
      </c>
      <c r="F109" s="62" t="s">
        <v>1000</v>
      </c>
      <c r="G109" s="62" t="s">
        <v>808</v>
      </c>
      <c r="H109" s="62" t="s">
        <v>813</v>
      </c>
    </row>
    <row r="110" spans="2:8" x14ac:dyDescent="0.2">
      <c r="B110" s="9" t="s">
        <v>31</v>
      </c>
      <c r="C110" s="9">
        <v>23</v>
      </c>
      <c r="D110" s="9" t="str">
        <f t="shared" si="4"/>
        <v>18-25</v>
      </c>
      <c r="E110" s="9">
        <v>10</v>
      </c>
      <c r="F110" s="62" t="s">
        <v>1000</v>
      </c>
      <c r="G110" s="62" t="s">
        <v>805</v>
      </c>
      <c r="H110" s="68"/>
    </row>
    <row r="111" spans="2:8" x14ac:dyDescent="0.2">
      <c r="B111" s="9" t="s">
        <v>31</v>
      </c>
      <c r="C111" s="9">
        <v>24</v>
      </c>
      <c r="D111" s="9" t="str">
        <f t="shared" si="4"/>
        <v>18-25</v>
      </c>
      <c r="E111" s="9">
        <v>9</v>
      </c>
      <c r="F111" s="62" t="s">
        <v>1000</v>
      </c>
      <c r="G111" s="62" t="s">
        <v>805</v>
      </c>
      <c r="H111" s="68"/>
    </row>
    <row r="112" spans="2:8" x14ac:dyDescent="0.2">
      <c r="B112" s="9" t="s">
        <v>31</v>
      </c>
      <c r="C112" s="9">
        <v>21</v>
      </c>
      <c r="D112" s="9" t="str">
        <f t="shared" si="4"/>
        <v>18-25</v>
      </c>
      <c r="E112" s="9">
        <v>8</v>
      </c>
      <c r="F112" s="62" t="s">
        <v>1000</v>
      </c>
      <c r="G112" s="62" t="s">
        <v>805</v>
      </c>
      <c r="H112" s="68"/>
    </row>
    <row r="113" spans="2:8" x14ac:dyDescent="0.2">
      <c r="B113" s="9" t="s">
        <v>31</v>
      </c>
      <c r="C113" s="9">
        <v>25</v>
      </c>
      <c r="D113" s="9" t="str">
        <f t="shared" si="4"/>
        <v>18-25</v>
      </c>
      <c r="E113" s="9">
        <v>8</v>
      </c>
      <c r="F113" s="62" t="s">
        <v>1000</v>
      </c>
      <c r="G113" s="62" t="s">
        <v>805</v>
      </c>
      <c r="H113" s="68"/>
    </row>
    <row r="114" spans="2:8" x14ac:dyDescent="0.2">
      <c r="B114" s="9" t="s">
        <v>31</v>
      </c>
      <c r="C114" s="9">
        <v>25</v>
      </c>
      <c r="D114" s="9" t="str">
        <f t="shared" si="4"/>
        <v>18-25</v>
      </c>
      <c r="E114" s="9">
        <v>10</v>
      </c>
      <c r="F114" s="62" t="s">
        <v>1000</v>
      </c>
      <c r="G114" s="62" t="s">
        <v>807</v>
      </c>
      <c r="H114" s="68"/>
    </row>
    <row r="115" spans="2:8" x14ac:dyDescent="0.2">
      <c r="B115" s="9" t="s">
        <v>31</v>
      </c>
      <c r="C115" s="9">
        <v>21</v>
      </c>
      <c r="D115" s="9" t="str">
        <f t="shared" si="4"/>
        <v>18-25</v>
      </c>
      <c r="E115" s="9">
        <v>9</v>
      </c>
      <c r="F115" s="62" t="s">
        <v>1000</v>
      </c>
      <c r="G115" s="62" t="s">
        <v>807</v>
      </c>
      <c r="H115" s="68"/>
    </row>
    <row r="116" spans="2:8" x14ac:dyDescent="0.2">
      <c r="B116" s="9" t="s">
        <v>31</v>
      </c>
      <c r="C116" s="9">
        <v>22</v>
      </c>
      <c r="D116" s="9" t="str">
        <f t="shared" si="4"/>
        <v>18-25</v>
      </c>
      <c r="E116" s="9">
        <v>9</v>
      </c>
      <c r="F116" s="62" t="s">
        <v>802</v>
      </c>
      <c r="G116" s="62" t="s">
        <v>807</v>
      </c>
      <c r="H116" s="68"/>
    </row>
    <row r="117" spans="2:8" x14ac:dyDescent="0.2">
      <c r="B117" s="9" t="s">
        <v>31</v>
      </c>
      <c r="C117" s="9">
        <v>22</v>
      </c>
      <c r="D117" s="9" t="str">
        <f t="shared" si="4"/>
        <v>18-25</v>
      </c>
      <c r="E117" s="9">
        <v>7</v>
      </c>
      <c r="F117" s="62" t="s">
        <v>802</v>
      </c>
      <c r="G117" s="62" t="s">
        <v>807</v>
      </c>
      <c r="H117" s="68"/>
    </row>
    <row r="118" spans="2:8" x14ac:dyDescent="0.2">
      <c r="B118" s="9" t="s">
        <v>31</v>
      </c>
      <c r="C118" s="9">
        <v>24</v>
      </c>
      <c r="D118" s="9" t="str">
        <f t="shared" si="4"/>
        <v>18-25</v>
      </c>
      <c r="E118" s="9">
        <v>7</v>
      </c>
      <c r="F118" s="62" t="s">
        <v>802</v>
      </c>
      <c r="G118" s="62" t="s">
        <v>807</v>
      </c>
      <c r="H118" s="68"/>
    </row>
    <row r="119" spans="2:8" x14ac:dyDescent="0.2">
      <c r="B119" s="9" t="s">
        <v>31</v>
      </c>
      <c r="C119" s="9">
        <v>25</v>
      </c>
      <c r="D119" s="9" t="str">
        <f t="shared" si="4"/>
        <v>18-25</v>
      </c>
      <c r="E119" s="9">
        <v>4</v>
      </c>
      <c r="F119" s="62" t="s">
        <v>802</v>
      </c>
      <c r="G119" s="62" t="s">
        <v>809</v>
      </c>
      <c r="H119" s="62" t="s">
        <v>811</v>
      </c>
    </row>
    <row r="120" spans="2:8" x14ac:dyDescent="0.2">
      <c r="B120" s="9" t="s">
        <v>31</v>
      </c>
      <c r="C120" s="9">
        <v>21</v>
      </c>
      <c r="D120" s="9" t="str">
        <f t="shared" si="4"/>
        <v>18-25</v>
      </c>
      <c r="E120" s="9">
        <v>3</v>
      </c>
      <c r="F120" s="62" t="s">
        <v>802</v>
      </c>
      <c r="G120" s="62" t="s">
        <v>809</v>
      </c>
      <c r="H120" s="62" t="s">
        <v>811</v>
      </c>
    </row>
    <row r="121" spans="2:8" x14ac:dyDescent="0.2">
      <c r="B121" s="9" t="s">
        <v>31</v>
      </c>
      <c r="C121" s="9">
        <v>24</v>
      </c>
      <c r="D121" s="9" t="str">
        <f t="shared" si="4"/>
        <v>18-25</v>
      </c>
      <c r="E121" s="9">
        <v>7</v>
      </c>
      <c r="F121" s="62" t="s">
        <v>802</v>
      </c>
      <c r="G121" s="62" t="s">
        <v>806</v>
      </c>
      <c r="H121" s="68"/>
    </row>
    <row r="122" spans="2:8" x14ac:dyDescent="0.2">
      <c r="B122" s="9" t="s">
        <v>31</v>
      </c>
      <c r="C122" s="9">
        <v>22</v>
      </c>
      <c r="D122" s="9" t="str">
        <f t="shared" si="4"/>
        <v>18-25</v>
      </c>
      <c r="E122" s="9">
        <v>9</v>
      </c>
      <c r="F122" s="62" t="s">
        <v>802</v>
      </c>
      <c r="G122" s="62" t="s">
        <v>805</v>
      </c>
      <c r="H122" s="68"/>
    </row>
    <row r="123" spans="2:8" x14ac:dyDescent="0.2">
      <c r="B123" s="9" t="s">
        <v>31</v>
      </c>
      <c r="C123" s="9">
        <v>25</v>
      </c>
      <c r="D123" s="9" t="str">
        <f t="shared" si="4"/>
        <v>18-25</v>
      </c>
      <c r="E123" s="9">
        <v>8</v>
      </c>
      <c r="F123" s="62" t="s">
        <v>802</v>
      </c>
      <c r="G123" s="62" t="s">
        <v>805</v>
      </c>
      <c r="H123" s="68"/>
    </row>
    <row r="124" spans="2:8" x14ac:dyDescent="0.2">
      <c r="B124" s="9" t="s">
        <v>31</v>
      </c>
      <c r="C124" s="9">
        <v>25</v>
      </c>
      <c r="D124" s="9" t="str">
        <f t="shared" si="4"/>
        <v>18-25</v>
      </c>
      <c r="E124" s="9">
        <v>10</v>
      </c>
      <c r="F124" s="62" t="s">
        <v>1000</v>
      </c>
      <c r="G124" s="62" t="s">
        <v>807</v>
      </c>
      <c r="H124" s="68"/>
    </row>
    <row r="125" spans="2:8" x14ac:dyDescent="0.2">
      <c r="B125" s="9" t="s">
        <v>31</v>
      </c>
      <c r="C125" s="9">
        <v>23</v>
      </c>
      <c r="D125" s="9" t="str">
        <f t="shared" si="4"/>
        <v>18-25</v>
      </c>
      <c r="E125" s="9">
        <v>8</v>
      </c>
      <c r="F125" s="62" t="s">
        <v>1000</v>
      </c>
      <c r="G125" s="62" t="s">
        <v>807</v>
      </c>
      <c r="H125" s="68"/>
    </row>
    <row r="126" spans="2:8" x14ac:dyDescent="0.2">
      <c r="B126" s="9" t="s">
        <v>31</v>
      </c>
      <c r="C126" s="9">
        <v>25</v>
      </c>
      <c r="D126" s="9" t="str">
        <f t="shared" si="4"/>
        <v>18-25</v>
      </c>
      <c r="E126" s="9">
        <v>7</v>
      </c>
      <c r="F126" s="62" t="s">
        <v>1000</v>
      </c>
      <c r="G126" s="62" t="s">
        <v>809</v>
      </c>
      <c r="H126" s="62" t="s">
        <v>811</v>
      </c>
    </row>
    <row r="127" spans="2:8" x14ac:dyDescent="0.2">
      <c r="B127" s="9" t="s">
        <v>31</v>
      </c>
      <c r="C127" s="9">
        <v>23</v>
      </c>
      <c r="D127" s="9" t="str">
        <f t="shared" si="4"/>
        <v>18-25</v>
      </c>
      <c r="E127" s="9">
        <v>8</v>
      </c>
      <c r="F127" s="62" t="s">
        <v>803</v>
      </c>
      <c r="G127" s="62" t="s">
        <v>808</v>
      </c>
      <c r="H127" s="62" t="s">
        <v>813</v>
      </c>
    </row>
    <row r="128" spans="2:8" x14ac:dyDescent="0.2">
      <c r="B128" s="9" t="s">
        <v>31</v>
      </c>
      <c r="C128" s="9">
        <v>23</v>
      </c>
      <c r="D128" s="9" t="str">
        <f t="shared" si="4"/>
        <v>18-25</v>
      </c>
      <c r="E128" s="9">
        <v>9</v>
      </c>
      <c r="F128" s="62" t="s">
        <v>803</v>
      </c>
      <c r="G128" s="62" t="s">
        <v>806</v>
      </c>
      <c r="H128" s="68"/>
    </row>
    <row r="129" spans="2:8" x14ac:dyDescent="0.2">
      <c r="B129" s="9" t="s">
        <v>31</v>
      </c>
      <c r="C129" s="9">
        <v>23</v>
      </c>
      <c r="D129" s="9" t="str">
        <f t="shared" si="4"/>
        <v>18-25</v>
      </c>
      <c r="E129" s="9">
        <v>8</v>
      </c>
      <c r="F129" s="62" t="s">
        <v>803</v>
      </c>
      <c r="G129" s="62" t="s">
        <v>806</v>
      </c>
      <c r="H129" s="68"/>
    </row>
    <row r="130" spans="2:8" x14ac:dyDescent="0.2">
      <c r="B130" s="9" t="s">
        <v>31</v>
      </c>
      <c r="C130" s="9">
        <v>24</v>
      </c>
      <c r="D130" s="9" t="str">
        <f t="shared" si="4"/>
        <v>18-25</v>
      </c>
      <c r="E130" s="9">
        <v>8</v>
      </c>
      <c r="F130" s="62" t="s">
        <v>803</v>
      </c>
      <c r="G130" s="62" t="s">
        <v>806</v>
      </c>
      <c r="H130" s="68"/>
    </row>
    <row r="131" spans="2:8" x14ac:dyDescent="0.2">
      <c r="B131" s="9" t="s">
        <v>31</v>
      </c>
      <c r="C131" s="9">
        <v>24</v>
      </c>
      <c r="D131" s="9" t="str">
        <f t="shared" si="4"/>
        <v>18-25</v>
      </c>
      <c r="E131" s="9">
        <v>7</v>
      </c>
      <c r="F131" s="62" t="s">
        <v>803</v>
      </c>
      <c r="G131" s="62" t="s">
        <v>806</v>
      </c>
      <c r="H131" s="68"/>
    </row>
    <row r="132" spans="2:8" x14ac:dyDescent="0.2">
      <c r="B132" s="9" t="s">
        <v>31</v>
      </c>
      <c r="C132" s="9">
        <v>24</v>
      </c>
      <c r="D132" s="9" t="str">
        <f t="shared" si="4"/>
        <v>18-25</v>
      </c>
      <c r="E132" s="9">
        <v>10</v>
      </c>
      <c r="F132" s="62" t="s">
        <v>803</v>
      </c>
      <c r="G132" s="62" t="s">
        <v>805</v>
      </c>
      <c r="H132" s="68"/>
    </row>
    <row r="133" spans="2:8" x14ac:dyDescent="0.2">
      <c r="B133" s="9" t="s">
        <v>31</v>
      </c>
      <c r="C133" s="9">
        <v>23</v>
      </c>
      <c r="D133" s="9" t="str">
        <f t="shared" si="4"/>
        <v>18-25</v>
      </c>
      <c r="E133" s="9">
        <v>9</v>
      </c>
      <c r="F133" s="62" t="s">
        <v>803</v>
      </c>
      <c r="G133" s="62" t="s">
        <v>805</v>
      </c>
      <c r="H133" s="68"/>
    </row>
    <row r="134" spans="2:8" x14ac:dyDescent="0.2">
      <c r="B134" s="9" t="s">
        <v>31</v>
      </c>
      <c r="C134" s="9">
        <v>23</v>
      </c>
      <c r="D134" s="9" t="str">
        <f t="shared" ref="D134:D165" si="5">VLOOKUP(C134,$K$7:$L$51,2,FALSE)</f>
        <v>18-25</v>
      </c>
      <c r="E134" s="9">
        <v>9</v>
      </c>
      <c r="F134" s="62" t="s">
        <v>803</v>
      </c>
      <c r="G134" s="62" t="s">
        <v>805</v>
      </c>
      <c r="H134" s="68"/>
    </row>
    <row r="135" spans="2:8" x14ac:dyDescent="0.2">
      <c r="B135" s="9" t="s">
        <v>31</v>
      </c>
      <c r="C135" s="9">
        <v>21</v>
      </c>
      <c r="D135" s="9" t="str">
        <f t="shared" si="5"/>
        <v>18-25</v>
      </c>
      <c r="E135" s="9">
        <v>10</v>
      </c>
      <c r="F135" s="62" t="s">
        <v>801</v>
      </c>
      <c r="G135" s="62" t="s">
        <v>807</v>
      </c>
      <c r="H135" s="68"/>
    </row>
    <row r="136" spans="2:8" x14ac:dyDescent="0.2">
      <c r="B136" s="9" t="s">
        <v>31</v>
      </c>
      <c r="C136" s="9">
        <v>22</v>
      </c>
      <c r="D136" s="9" t="str">
        <f t="shared" si="5"/>
        <v>18-25</v>
      </c>
      <c r="E136" s="9">
        <v>10</v>
      </c>
      <c r="F136" s="62" t="s">
        <v>801</v>
      </c>
      <c r="G136" s="62" t="s">
        <v>807</v>
      </c>
      <c r="H136" s="68"/>
    </row>
    <row r="137" spans="2:8" x14ac:dyDescent="0.2">
      <c r="B137" s="9" t="s">
        <v>31</v>
      </c>
      <c r="C137" s="9">
        <v>23</v>
      </c>
      <c r="D137" s="9" t="str">
        <f t="shared" si="5"/>
        <v>18-25</v>
      </c>
      <c r="E137" s="9">
        <v>10</v>
      </c>
      <c r="F137" s="62" t="s">
        <v>801</v>
      </c>
      <c r="G137" s="62" t="s">
        <v>807</v>
      </c>
      <c r="H137" s="68"/>
    </row>
    <row r="138" spans="2:8" x14ac:dyDescent="0.2">
      <c r="B138" s="9" t="s">
        <v>31</v>
      </c>
      <c r="C138" s="9">
        <v>22</v>
      </c>
      <c r="D138" s="9" t="str">
        <f t="shared" si="5"/>
        <v>18-25</v>
      </c>
      <c r="E138" s="9">
        <v>9</v>
      </c>
      <c r="F138" s="62" t="s">
        <v>801</v>
      </c>
      <c r="G138" s="62" t="s">
        <v>805</v>
      </c>
      <c r="H138" s="68"/>
    </row>
    <row r="139" spans="2:8" x14ac:dyDescent="0.2">
      <c r="B139" s="9" t="s">
        <v>31</v>
      </c>
      <c r="C139" s="9">
        <v>24</v>
      </c>
      <c r="D139" s="9" t="str">
        <f t="shared" si="5"/>
        <v>18-25</v>
      </c>
      <c r="E139" s="9">
        <v>9</v>
      </c>
      <c r="F139" s="62" t="s">
        <v>801</v>
      </c>
      <c r="G139" s="62" t="s">
        <v>805</v>
      </c>
      <c r="H139" s="68"/>
    </row>
    <row r="140" spans="2:8" x14ac:dyDescent="0.2">
      <c r="B140" s="9" t="s">
        <v>31</v>
      </c>
      <c r="C140" s="9">
        <v>26</v>
      </c>
      <c r="D140" s="9" t="str">
        <f t="shared" si="5"/>
        <v>26-35</v>
      </c>
      <c r="E140" s="9">
        <v>9</v>
      </c>
      <c r="F140" s="62" t="s">
        <v>799</v>
      </c>
      <c r="G140" s="62" t="s">
        <v>807</v>
      </c>
      <c r="H140" s="68"/>
    </row>
    <row r="141" spans="2:8" x14ac:dyDescent="0.2">
      <c r="B141" s="9" t="s">
        <v>31</v>
      </c>
      <c r="C141" s="9">
        <v>26</v>
      </c>
      <c r="D141" s="9" t="str">
        <f t="shared" si="5"/>
        <v>26-35</v>
      </c>
      <c r="E141" s="9">
        <v>10</v>
      </c>
      <c r="F141" s="62" t="s">
        <v>799</v>
      </c>
      <c r="G141" s="62" t="s">
        <v>805</v>
      </c>
      <c r="H141" s="68"/>
    </row>
    <row r="142" spans="2:8" x14ac:dyDescent="0.2">
      <c r="B142" s="9" t="s">
        <v>31</v>
      </c>
      <c r="C142" s="9">
        <v>35</v>
      </c>
      <c r="D142" s="9" t="str">
        <f t="shared" si="5"/>
        <v>26-35</v>
      </c>
      <c r="E142" s="9">
        <v>10</v>
      </c>
      <c r="F142" s="62" t="s">
        <v>799</v>
      </c>
      <c r="G142" s="62" t="s">
        <v>805</v>
      </c>
      <c r="H142" s="68"/>
    </row>
    <row r="143" spans="2:8" x14ac:dyDescent="0.2">
      <c r="B143" s="9" t="s">
        <v>31</v>
      </c>
      <c r="C143" s="9">
        <v>28</v>
      </c>
      <c r="D143" s="9" t="str">
        <f t="shared" si="5"/>
        <v>26-35</v>
      </c>
      <c r="E143" s="9">
        <v>9</v>
      </c>
      <c r="F143" s="62" t="s">
        <v>799</v>
      </c>
      <c r="G143" s="62" t="s">
        <v>805</v>
      </c>
      <c r="H143" s="68"/>
    </row>
    <row r="144" spans="2:8" x14ac:dyDescent="0.2">
      <c r="B144" s="9" t="s">
        <v>31</v>
      </c>
      <c r="C144" s="9">
        <v>31</v>
      </c>
      <c r="D144" s="9" t="str">
        <f t="shared" si="5"/>
        <v>26-35</v>
      </c>
      <c r="E144" s="9">
        <v>7</v>
      </c>
      <c r="F144" s="62" t="s">
        <v>800</v>
      </c>
      <c r="G144" s="62" t="s">
        <v>807</v>
      </c>
      <c r="H144" s="68"/>
    </row>
    <row r="145" spans="2:8" x14ac:dyDescent="0.2">
      <c r="B145" s="9" t="s">
        <v>31</v>
      </c>
      <c r="C145" s="9">
        <v>26</v>
      </c>
      <c r="D145" s="9" t="str">
        <f t="shared" si="5"/>
        <v>26-35</v>
      </c>
      <c r="E145" s="9">
        <v>7</v>
      </c>
      <c r="F145" s="62" t="s">
        <v>800</v>
      </c>
      <c r="G145" s="62" t="s">
        <v>808</v>
      </c>
      <c r="H145" s="62" t="s">
        <v>813</v>
      </c>
    </row>
    <row r="146" spans="2:8" x14ac:dyDescent="0.2">
      <c r="B146" s="9" t="s">
        <v>31</v>
      </c>
      <c r="C146" s="9">
        <v>30</v>
      </c>
      <c r="D146" s="9" t="str">
        <f t="shared" si="5"/>
        <v>26-35</v>
      </c>
      <c r="E146" s="9">
        <v>7</v>
      </c>
      <c r="F146" s="62" t="s">
        <v>800</v>
      </c>
      <c r="G146" s="62" t="s">
        <v>808</v>
      </c>
      <c r="H146" s="62" t="s">
        <v>813</v>
      </c>
    </row>
    <row r="147" spans="2:8" x14ac:dyDescent="0.2">
      <c r="B147" s="9" t="s">
        <v>31</v>
      </c>
      <c r="C147" s="9">
        <v>26</v>
      </c>
      <c r="D147" s="9" t="str">
        <f t="shared" si="5"/>
        <v>26-35</v>
      </c>
      <c r="E147" s="9">
        <v>9</v>
      </c>
      <c r="F147" s="62" t="s">
        <v>800</v>
      </c>
      <c r="G147" s="62" t="s">
        <v>806</v>
      </c>
      <c r="H147" s="68"/>
    </row>
    <row r="148" spans="2:8" x14ac:dyDescent="0.2">
      <c r="B148" s="9" t="s">
        <v>31</v>
      </c>
      <c r="C148" s="9">
        <v>35</v>
      </c>
      <c r="D148" s="9" t="str">
        <f t="shared" si="5"/>
        <v>26-35</v>
      </c>
      <c r="E148" s="9">
        <v>9</v>
      </c>
      <c r="F148" s="62" t="s">
        <v>800</v>
      </c>
      <c r="G148" s="62" t="s">
        <v>806</v>
      </c>
      <c r="H148" s="68"/>
    </row>
    <row r="149" spans="2:8" x14ac:dyDescent="0.2">
      <c r="B149" s="9" t="s">
        <v>31</v>
      </c>
      <c r="C149" s="9">
        <v>29</v>
      </c>
      <c r="D149" s="9" t="str">
        <f t="shared" si="5"/>
        <v>26-35</v>
      </c>
      <c r="E149" s="9">
        <v>9</v>
      </c>
      <c r="F149" s="62" t="s">
        <v>800</v>
      </c>
      <c r="G149" s="62" t="s">
        <v>805</v>
      </c>
      <c r="H149" s="68"/>
    </row>
    <row r="150" spans="2:8" x14ac:dyDescent="0.2">
      <c r="B150" s="9" t="s">
        <v>31</v>
      </c>
      <c r="C150" s="9">
        <v>27</v>
      </c>
      <c r="D150" s="9" t="str">
        <f t="shared" si="5"/>
        <v>26-35</v>
      </c>
      <c r="E150" s="9">
        <v>10</v>
      </c>
      <c r="F150" s="62" t="s">
        <v>1000</v>
      </c>
      <c r="G150" s="62" t="s">
        <v>807</v>
      </c>
      <c r="H150" s="68"/>
    </row>
    <row r="151" spans="2:8" x14ac:dyDescent="0.2">
      <c r="B151" s="9" t="s">
        <v>31</v>
      </c>
      <c r="C151" s="9">
        <v>26</v>
      </c>
      <c r="D151" s="9" t="str">
        <f t="shared" si="5"/>
        <v>26-35</v>
      </c>
      <c r="E151" s="9">
        <v>9</v>
      </c>
      <c r="F151" s="62" t="s">
        <v>1000</v>
      </c>
      <c r="G151" s="62" t="s">
        <v>807</v>
      </c>
      <c r="H151" s="68"/>
    </row>
    <row r="152" spans="2:8" x14ac:dyDescent="0.2">
      <c r="B152" s="9" t="s">
        <v>31</v>
      </c>
      <c r="C152" s="9">
        <v>26</v>
      </c>
      <c r="D152" s="9" t="str">
        <f t="shared" si="5"/>
        <v>26-35</v>
      </c>
      <c r="E152" s="9">
        <v>9</v>
      </c>
      <c r="F152" s="62" t="s">
        <v>1000</v>
      </c>
      <c r="G152" s="62" t="s">
        <v>807</v>
      </c>
      <c r="H152" s="68"/>
    </row>
    <row r="153" spans="2:8" x14ac:dyDescent="0.2">
      <c r="B153" s="9" t="s">
        <v>31</v>
      </c>
      <c r="C153" s="9">
        <v>29</v>
      </c>
      <c r="D153" s="9" t="str">
        <f t="shared" si="5"/>
        <v>26-35</v>
      </c>
      <c r="E153" s="9">
        <v>9</v>
      </c>
      <c r="F153" s="62" t="s">
        <v>1000</v>
      </c>
      <c r="G153" s="62" t="s">
        <v>807</v>
      </c>
      <c r="H153" s="68"/>
    </row>
    <row r="154" spans="2:8" x14ac:dyDescent="0.2">
      <c r="B154" s="9" t="s">
        <v>31</v>
      </c>
      <c r="C154" s="9">
        <v>34</v>
      </c>
      <c r="D154" s="9" t="str">
        <f t="shared" si="5"/>
        <v>26-35</v>
      </c>
      <c r="E154" s="9">
        <v>9</v>
      </c>
      <c r="F154" s="62" t="s">
        <v>1000</v>
      </c>
      <c r="G154" s="62" t="s">
        <v>807</v>
      </c>
      <c r="H154" s="68"/>
    </row>
    <row r="155" spans="2:8" x14ac:dyDescent="0.2">
      <c r="B155" s="9" t="s">
        <v>31</v>
      </c>
      <c r="C155" s="9">
        <v>29</v>
      </c>
      <c r="D155" s="9" t="str">
        <f t="shared" si="5"/>
        <v>26-35</v>
      </c>
      <c r="E155" s="9">
        <v>8</v>
      </c>
      <c r="F155" s="62" t="s">
        <v>1000</v>
      </c>
      <c r="G155" s="62" t="s">
        <v>807</v>
      </c>
      <c r="H155" s="68"/>
    </row>
    <row r="156" spans="2:8" x14ac:dyDescent="0.2">
      <c r="B156" s="9" t="s">
        <v>31</v>
      </c>
      <c r="C156" s="9">
        <v>32</v>
      </c>
      <c r="D156" s="9" t="str">
        <f t="shared" si="5"/>
        <v>26-35</v>
      </c>
      <c r="E156" s="9">
        <v>7</v>
      </c>
      <c r="F156" s="62" t="s">
        <v>1000</v>
      </c>
      <c r="G156" s="62" t="s">
        <v>809</v>
      </c>
      <c r="H156" s="62" t="s">
        <v>811</v>
      </c>
    </row>
    <row r="157" spans="2:8" x14ac:dyDescent="0.2">
      <c r="B157" s="9" t="s">
        <v>31</v>
      </c>
      <c r="C157" s="9">
        <v>27</v>
      </c>
      <c r="D157" s="9" t="str">
        <f t="shared" si="5"/>
        <v>26-35</v>
      </c>
      <c r="E157" s="9">
        <v>9</v>
      </c>
      <c r="F157" s="62" t="s">
        <v>1000</v>
      </c>
      <c r="G157" s="62" t="s">
        <v>808</v>
      </c>
      <c r="H157" s="62" t="s">
        <v>813</v>
      </c>
    </row>
    <row r="158" spans="2:8" x14ac:dyDescent="0.2">
      <c r="B158" s="9" t="s">
        <v>31</v>
      </c>
      <c r="C158" s="9">
        <v>29</v>
      </c>
      <c r="D158" s="9" t="str">
        <f t="shared" si="5"/>
        <v>26-35</v>
      </c>
      <c r="E158" s="9">
        <v>9</v>
      </c>
      <c r="F158" s="62" t="s">
        <v>1000</v>
      </c>
      <c r="G158" s="62" t="s">
        <v>808</v>
      </c>
      <c r="H158" s="62" t="s">
        <v>813</v>
      </c>
    </row>
    <row r="159" spans="2:8" x14ac:dyDescent="0.2">
      <c r="B159" s="9" t="s">
        <v>31</v>
      </c>
      <c r="C159" s="9">
        <v>35</v>
      </c>
      <c r="D159" s="9" t="str">
        <f t="shared" si="5"/>
        <v>26-35</v>
      </c>
      <c r="E159" s="9">
        <v>7</v>
      </c>
      <c r="F159" s="62" t="s">
        <v>1000</v>
      </c>
      <c r="G159" s="62" t="s">
        <v>806</v>
      </c>
      <c r="H159" s="68"/>
    </row>
    <row r="160" spans="2:8" x14ac:dyDescent="0.2">
      <c r="B160" s="9" t="s">
        <v>31</v>
      </c>
      <c r="C160" s="9">
        <v>27</v>
      </c>
      <c r="D160" s="9" t="str">
        <f t="shared" si="5"/>
        <v>26-35</v>
      </c>
      <c r="E160" s="9">
        <v>10</v>
      </c>
      <c r="F160" s="62" t="s">
        <v>1000</v>
      </c>
      <c r="G160" s="62" t="s">
        <v>805</v>
      </c>
      <c r="H160" s="68"/>
    </row>
    <row r="161" spans="2:8" x14ac:dyDescent="0.2">
      <c r="B161" s="9" t="s">
        <v>31</v>
      </c>
      <c r="C161" s="9">
        <v>28</v>
      </c>
      <c r="D161" s="9" t="str">
        <f t="shared" si="5"/>
        <v>26-35</v>
      </c>
      <c r="E161" s="9">
        <v>9</v>
      </c>
      <c r="F161" s="62" t="s">
        <v>1000</v>
      </c>
      <c r="G161" s="62" t="s">
        <v>805</v>
      </c>
      <c r="H161" s="68"/>
    </row>
    <row r="162" spans="2:8" x14ac:dyDescent="0.2">
      <c r="B162" s="9" t="s">
        <v>31</v>
      </c>
      <c r="C162" s="9">
        <v>27</v>
      </c>
      <c r="D162" s="9" t="str">
        <f t="shared" si="5"/>
        <v>26-35</v>
      </c>
      <c r="E162" s="9">
        <v>5</v>
      </c>
      <c r="F162" s="62" t="s">
        <v>1000</v>
      </c>
      <c r="G162" s="62" t="s">
        <v>805</v>
      </c>
      <c r="H162" s="68"/>
    </row>
    <row r="163" spans="2:8" x14ac:dyDescent="0.2">
      <c r="B163" s="9" t="s">
        <v>31</v>
      </c>
      <c r="C163" s="9">
        <v>33</v>
      </c>
      <c r="D163" s="9" t="str">
        <f t="shared" si="5"/>
        <v>26-35</v>
      </c>
      <c r="E163" s="9">
        <v>8</v>
      </c>
      <c r="F163" s="62" t="s">
        <v>802</v>
      </c>
      <c r="G163" s="62" t="s">
        <v>807</v>
      </c>
      <c r="H163" s="68"/>
    </row>
    <row r="164" spans="2:8" x14ac:dyDescent="0.2">
      <c r="B164" s="9" t="s">
        <v>31</v>
      </c>
      <c r="C164" s="9">
        <v>30</v>
      </c>
      <c r="D164" s="9" t="str">
        <f t="shared" si="5"/>
        <v>26-35</v>
      </c>
      <c r="E164" s="9">
        <v>7</v>
      </c>
      <c r="F164" s="62" t="s">
        <v>802</v>
      </c>
      <c r="G164" s="62" t="s">
        <v>806</v>
      </c>
      <c r="H164" s="68"/>
    </row>
    <row r="165" spans="2:8" x14ac:dyDescent="0.2">
      <c r="B165" s="9" t="s">
        <v>31</v>
      </c>
      <c r="C165" s="9">
        <v>27</v>
      </c>
      <c r="D165" s="9" t="str">
        <f t="shared" si="5"/>
        <v>26-35</v>
      </c>
      <c r="E165" s="9">
        <v>9</v>
      </c>
      <c r="F165" s="62" t="s">
        <v>802</v>
      </c>
      <c r="G165" s="62" t="s">
        <v>805</v>
      </c>
      <c r="H165" s="68"/>
    </row>
    <row r="166" spans="2:8" x14ac:dyDescent="0.2">
      <c r="B166" s="9" t="s">
        <v>31</v>
      </c>
      <c r="C166" s="9">
        <v>32</v>
      </c>
      <c r="D166" s="9" t="str">
        <f t="shared" ref="D166:D197" si="6">VLOOKUP(C166,$K$7:$L$51,2,FALSE)</f>
        <v>26-35</v>
      </c>
      <c r="E166" s="9">
        <v>10</v>
      </c>
      <c r="F166" s="62" t="s">
        <v>803</v>
      </c>
      <c r="G166" s="62" t="s">
        <v>807</v>
      </c>
      <c r="H166" s="68"/>
    </row>
    <row r="167" spans="2:8" x14ac:dyDescent="0.2">
      <c r="B167" s="9" t="s">
        <v>31</v>
      </c>
      <c r="C167" s="9">
        <v>27</v>
      </c>
      <c r="D167" s="9" t="str">
        <f t="shared" si="6"/>
        <v>26-35</v>
      </c>
      <c r="E167" s="9">
        <v>9</v>
      </c>
      <c r="F167" s="62" t="s">
        <v>803</v>
      </c>
      <c r="G167" s="62" t="s">
        <v>807</v>
      </c>
      <c r="H167" s="68"/>
    </row>
    <row r="168" spans="2:8" x14ac:dyDescent="0.2">
      <c r="B168" s="9" t="s">
        <v>31</v>
      </c>
      <c r="C168" s="9">
        <v>26</v>
      </c>
      <c r="D168" s="9" t="str">
        <f t="shared" si="6"/>
        <v>26-35</v>
      </c>
      <c r="E168" s="9">
        <v>8</v>
      </c>
      <c r="F168" s="62" t="s">
        <v>803</v>
      </c>
      <c r="G168" s="62" t="s">
        <v>807</v>
      </c>
      <c r="H168" s="68"/>
    </row>
    <row r="169" spans="2:8" x14ac:dyDescent="0.2">
      <c r="B169" s="9" t="s">
        <v>31</v>
      </c>
      <c r="C169" s="9">
        <v>34</v>
      </c>
      <c r="D169" s="9" t="str">
        <f t="shared" si="6"/>
        <v>26-35</v>
      </c>
      <c r="E169" s="9">
        <v>7</v>
      </c>
      <c r="F169" s="62" t="s">
        <v>803</v>
      </c>
      <c r="G169" s="62" t="s">
        <v>808</v>
      </c>
      <c r="H169" s="62" t="s">
        <v>812</v>
      </c>
    </row>
    <row r="170" spans="2:8" x14ac:dyDescent="0.2">
      <c r="B170" s="9" t="s">
        <v>31</v>
      </c>
      <c r="C170" s="9">
        <v>29</v>
      </c>
      <c r="D170" s="9" t="str">
        <f t="shared" si="6"/>
        <v>26-35</v>
      </c>
      <c r="E170" s="9">
        <v>9</v>
      </c>
      <c r="F170" s="62" t="s">
        <v>803</v>
      </c>
      <c r="G170" s="62" t="s">
        <v>805</v>
      </c>
      <c r="H170" s="68"/>
    </row>
    <row r="171" spans="2:8" x14ac:dyDescent="0.2">
      <c r="B171" s="9" t="s">
        <v>31</v>
      </c>
      <c r="C171" s="9">
        <v>32</v>
      </c>
      <c r="D171" s="9" t="str">
        <f t="shared" si="6"/>
        <v>26-35</v>
      </c>
      <c r="E171" s="9">
        <v>9</v>
      </c>
      <c r="F171" s="62" t="s">
        <v>803</v>
      </c>
      <c r="G171" s="62" t="s">
        <v>805</v>
      </c>
      <c r="H171" s="68"/>
    </row>
    <row r="172" spans="2:8" x14ac:dyDescent="0.2">
      <c r="B172" s="9" t="s">
        <v>31</v>
      </c>
      <c r="C172" s="9">
        <v>34</v>
      </c>
      <c r="D172" s="9" t="str">
        <f t="shared" si="6"/>
        <v>26-35</v>
      </c>
      <c r="E172" s="9">
        <v>9</v>
      </c>
      <c r="F172" s="62" t="s">
        <v>803</v>
      </c>
      <c r="G172" s="62" t="s">
        <v>805</v>
      </c>
      <c r="H172" s="68"/>
    </row>
    <row r="173" spans="2:8" x14ac:dyDescent="0.2">
      <c r="B173" s="9" t="s">
        <v>31</v>
      </c>
      <c r="C173" s="9">
        <v>26</v>
      </c>
      <c r="D173" s="9" t="str">
        <f t="shared" si="6"/>
        <v>26-35</v>
      </c>
      <c r="E173" s="9">
        <v>8</v>
      </c>
      <c r="F173" s="62" t="s">
        <v>801</v>
      </c>
      <c r="G173" s="62" t="s">
        <v>807</v>
      </c>
      <c r="H173" s="68"/>
    </row>
    <row r="174" spans="2:8" x14ac:dyDescent="0.2">
      <c r="B174" s="9" t="s">
        <v>31</v>
      </c>
      <c r="C174" s="9">
        <v>30</v>
      </c>
      <c r="D174" s="9" t="str">
        <f t="shared" si="6"/>
        <v>26-35</v>
      </c>
      <c r="E174" s="9">
        <v>8</v>
      </c>
      <c r="F174" s="62" t="s">
        <v>801</v>
      </c>
      <c r="G174" s="62" t="s">
        <v>807</v>
      </c>
      <c r="H174" s="68"/>
    </row>
    <row r="175" spans="2:8" x14ac:dyDescent="0.2">
      <c r="B175" s="9" t="s">
        <v>31</v>
      </c>
      <c r="C175" s="9">
        <v>30</v>
      </c>
      <c r="D175" s="9" t="str">
        <f t="shared" si="6"/>
        <v>26-35</v>
      </c>
      <c r="E175" s="9">
        <v>10</v>
      </c>
      <c r="F175" s="62" t="s">
        <v>801</v>
      </c>
      <c r="G175" s="62" t="s">
        <v>808</v>
      </c>
      <c r="H175" s="62" t="s">
        <v>813</v>
      </c>
    </row>
    <row r="176" spans="2:8" x14ac:dyDescent="0.2">
      <c r="B176" s="9" t="s">
        <v>31</v>
      </c>
      <c r="C176" s="9">
        <v>32</v>
      </c>
      <c r="D176" s="9" t="str">
        <f t="shared" si="6"/>
        <v>26-35</v>
      </c>
      <c r="E176" s="9">
        <v>9</v>
      </c>
      <c r="F176" s="62" t="s">
        <v>801</v>
      </c>
      <c r="G176" s="62" t="s">
        <v>806</v>
      </c>
      <c r="H176" s="68"/>
    </row>
    <row r="177" spans="2:8" x14ac:dyDescent="0.2">
      <c r="B177" s="9" t="s">
        <v>31</v>
      </c>
      <c r="C177" s="9">
        <v>33</v>
      </c>
      <c r="D177" s="9" t="str">
        <f t="shared" si="6"/>
        <v>26-35</v>
      </c>
      <c r="E177" s="9">
        <v>10</v>
      </c>
      <c r="F177" s="62" t="s">
        <v>801</v>
      </c>
      <c r="G177" s="62" t="s">
        <v>805</v>
      </c>
      <c r="H177" s="68"/>
    </row>
    <row r="178" spans="2:8" x14ac:dyDescent="0.2">
      <c r="B178" s="9" t="s">
        <v>31</v>
      </c>
      <c r="C178" s="9">
        <v>31</v>
      </c>
      <c r="D178" s="9" t="str">
        <f t="shared" si="6"/>
        <v>26-35</v>
      </c>
      <c r="E178" s="9">
        <v>9</v>
      </c>
      <c r="F178" s="62" t="s">
        <v>801</v>
      </c>
      <c r="G178" s="62" t="s">
        <v>805</v>
      </c>
      <c r="H178" s="68"/>
    </row>
    <row r="179" spans="2:8" x14ac:dyDescent="0.2">
      <c r="B179" s="9" t="s">
        <v>31</v>
      </c>
      <c r="C179" s="9">
        <v>40</v>
      </c>
      <c r="D179" s="9" t="str">
        <f t="shared" si="6"/>
        <v>36-45</v>
      </c>
      <c r="E179" s="9">
        <v>9</v>
      </c>
      <c r="F179" s="62" t="s">
        <v>799</v>
      </c>
      <c r="G179" s="62" t="s">
        <v>807</v>
      </c>
      <c r="H179" s="68"/>
    </row>
    <row r="180" spans="2:8" x14ac:dyDescent="0.2">
      <c r="B180" s="9" t="s">
        <v>31</v>
      </c>
      <c r="C180" s="9">
        <v>42</v>
      </c>
      <c r="D180" s="9" t="str">
        <f t="shared" si="6"/>
        <v>36-45</v>
      </c>
      <c r="E180" s="9">
        <v>9</v>
      </c>
      <c r="F180" s="62" t="s">
        <v>799</v>
      </c>
      <c r="G180" s="62" t="s">
        <v>805</v>
      </c>
      <c r="H180" s="68"/>
    </row>
    <row r="181" spans="2:8" x14ac:dyDescent="0.2">
      <c r="B181" s="9" t="s">
        <v>31</v>
      </c>
      <c r="C181" s="9">
        <v>40</v>
      </c>
      <c r="D181" s="9" t="str">
        <f t="shared" si="6"/>
        <v>36-45</v>
      </c>
      <c r="E181" s="9">
        <v>8</v>
      </c>
      <c r="F181" s="62" t="s">
        <v>1000</v>
      </c>
      <c r="G181" s="62" t="s">
        <v>807</v>
      </c>
      <c r="H181" s="68"/>
    </row>
    <row r="182" spans="2:8" x14ac:dyDescent="0.2">
      <c r="B182" s="9" t="s">
        <v>31</v>
      </c>
      <c r="C182" s="9">
        <v>39</v>
      </c>
      <c r="D182" s="9" t="str">
        <f t="shared" si="6"/>
        <v>36-45</v>
      </c>
      <c r="E182" s="9">
        <v>9</v>
      </c>
      <c r="F182" s="62" t="s">
        <v>1000</v>
      </c>
      <c r="G182" s="62" t="s">
        <v>805</v>
      </c>
      <c r="H182" s="68"/>
    </row>
    <row r="183" spans="2:8" x14ac:dyDescent="0.2">
      <c r="B183" s="9" t="s">
        <v>31</v>
      </c>
      <c r="C183" s="9">
        <v>44</v>
      </c>
      <c r="D183" s="9" t="str">
        <f t="shared" si="6"/>
        <v>36-45</v>
      </c>
      <c r="E183" s="9">
        <v>9</v>
      </c>
      <c r="F183" s="62" t="s">
        <v>1000</v>
      </c>
      <c r="G183" s="62" t="s">
        <v>805</v>
      </c>
      <c r="H183" s="68"/>
    </row>
    <row r="184" spans="2:8" x14ac:dyDescent="0.2">
      <c r="B184" s="9" t="s">
        <v>31</v>
      </c>
      <c r="C184" s="9">
        <v>39</v>
      </c>
      <c r="D184" s="9" t="str">
        <f t="shared" si="6"/>
        <v>36-45</v>
      </c>
      <c r="E184" s="9">
        <v>9</v>
      </c>
      <c r="F184" s="62" t="s">
        <v>802</v>
      </c>
      <c r="G184" s="62" t="s">
        <v>806</v>
      </c>
      <c r="H184" s="68"/>
    </row>
    <row r="185" spans="2:8" x14ac:dyDescent="0.2">
      <c r="B185" s="9" t="s">
        <v>31</v>
      </c>
      <c r="C185" s="9">
        <v>45</v>
      </c>
      <c r="D185" s="9" t="str">
        <f t="shared" si="6"/>
        <v>36-45</v>
      </c>
      <c r="E185" s="9">
        <v>10</v>
      </c>
      <c r="F185" s="62" t="s">
        <v>802</v>
      </c>
      <c r="G185" s="62" t="s">
        <v>805</v>
      </c>
      <c r="H185" s="68"/>
    </row>
    <row r="186" spans="2:8" x14ac:dyDescent="0.2">
      <c r="B186" s="9" t="s">
        <v>31</v>
      </c>
      <c r="C186" s="9">
        <v>36</v>
      </c>
      <c r="D186" s="9" t="str">
        <f t="shared" si="6"/>
        <v>36-45</v>
      </c>
      <c r="E186" s="9">
        <v>9</v>
      </c>
      <c r="F186" s="62" t="s">
        <v>802</v>
      </c>
      <c r="G186" s="62" t="s">
        <v>805</v>
      </c>
      <c r="H186" s="68"/>
    </row>
    <row r="187" spans="2:8" x14ac:dyDescent="0.2">
      <c r="B187" s="9" t="s">
        <v>31</v>
      </c>
      <c r="C187" s="9">
        <v>36</v>
      </c>
      <c r="D187" s="9" t="str">
        <f t="shared" si="6"/>
        <v>36-45</v>
      </c>
      <c r="E187" s="9">
        <v>4</v>
      </c>
      <c r="F187" s="62" t="s">
        <v>803</v>
      </c>
      <c r="G187" s="62" t="s">
        <v>808</v>
      </c>
      <c r="H187" s="62" t="s">
        <v>814</v>
      </c>
    </row>
    <row r="188" spans="2:8" x14ac:dyDescent="0.2">
      <c r="B188" s="9" t="s">
        <v>31</v>
      </c>
      <c r="C188" s="9">
        <v>40</v>
      </c>
      <c r="D188" s="9" t="str">
        <f t="shared" si="6"/>
        <v>36-45</v>
      </c>
      <c r="E188" s="9">
        <v>8</v>
      </c>
      <c r="F188" s="62" t="s">
        <v>803</v>
      </c>
      <c r="G188" s="62" t="s">
        <v>805</v>
      </c>
      <c r="H188" s="68"/>
    </row>
    <row r="189" spans="2:8" x14ac:dyDescent="0.2">
      <c r="B189" s="9" t="s">
        <v>31</v>
      </c>
      <c r="C189" s="9">
        <v>45</v>
      </c>
      <c r="D189" s="9" t="str">
        <f t="shared" si="6"/>
        <v>36-45</v>
      </c>
      <c r="E189" s="9">
        <v>10</v>
      </c>
      <c r="F189" s="62" t="s">
        <v>801</v>
      </c>
      <c r="G189" s="62" t="s">
        <v>806</v>
      </c>
      <c r="H189" s="68"/>
    </row>
    <row r="190" spans="2:8" x14ac:dyDescent="0.2">
      <c r="B190" s="9" t="s">
        <v>31</v>
      </c>
      <c r="C190" s="9">
        <v>53</v>
      </c>
      <c r="D190" s="9" t="str">
        <f t="shared" si="6"/>
        <v>46-55</v>
      </c>
      <c r="E190" s="9">
        <v>9</v>
      </c>
      <c r="F190" s="62" t="s">
        <v>799</v>
      </c>
      <c r="G190" s="62" t="s">
        <v>807</v>
      </c>
      <c r="H190" s="68"/>
    </row>
    <row r="191" spans="2:8" x14ac:dyDescent="0.2">
      <c r="B191" s="9" t="s">
        <v>31</v>
      </c>
      <c r="C191" s="9">
        <v>53</v>
      </c>
      <c r="D191" s="9" t="str">
        <f t="shared" si="6"/>
        <v>46-55</v>
      </c>
      <c r="E191" s="9">
        <v>2</v>
      </c>
      <c r="F191" s="62" t="s">
        <v>799</v>
      </c>
      <c r="G191" s="62" t="s">
        <v>809</v>
      </c>
      <c r="H191" s="62" t="s">
        <v>813</v>
      </c>
    </row>
    <row r="192" spans="2:8" x14ac:dyDescent="0.2">
      <c r="B192" s="9" t="s">
        <v>31</v>
      </c>
      <c r="C192" s="9">
        <v>48</v>
      </c>
      <c r="D192" s="9" t="str">
        <f t="shared" si="6"/>
        <v>46-55</v>
      </c>
      <c r="E192" s="9">
        <v>5</v>
      </c>
      <c r="F192" s="62" t="s">
        <v>802</v>
      </c>
      <c r="G192" s="62" t="s">
        <v>807</v>
      </c>
      <c r="H192" s="68"/>
    </row>
    <row r="193" spans="2:8" x14ac:dyDescent="0.2">
      <c r="B193" s="9" t="s">
        <v>31</v>
      </c>
      <c r="C193" s="9">
        <v>53</v>
      </c>
      <c r="D193" s="9" t="str">
        <f t="shared" si="6"/>
        <v>46-55</v>
      </c>
      <c r="E193" s="9">
        <v>9</v>
      </c>
      <c r="F193" s="62" t="s">
        <v>803</v>
      </c>
      <c r="G193" s="62" t="s">
        <v>805</v>
      </c>
      <c r="H193" s="68"/>
    </row>
    <row r="194" spans="2:8" x14ac:dyDescent="0.2">
      <c r="B194" s="9" t="s">
        <v>31</v>
      </c>
      <c r="C194" s="9">
        <v>56</v>
      </c>
      <c r="D194" s="9" t="str">
        <f t="shared" si="6"/>
        <v>55+</v>
      </c>
      <c r="E194" s="9">
        <v>8</v>
      </c>
      <c r="F194" s="62" t="s">
        <v>799</v>
      </c>
      <c r="G194" s="62" t="s">
        <v>808</v>
      </c>
      <c r="H194" s="62" t="s">
        <v>813</v>
      </c>
    </row>
    <row r="195" spans="2:8" x14ac:dyDescent="0.2">
      <c r="B195" s="9" t="s">
        <v>31</v>
      </c>
      <c r="C195" s="9">
        <v>65</v>
      </c>
      <c r="D195" s="9" t="str">
        <f t="shared" si="6"/>
        <v>55+</v>
      </c>
      <c r="E195" s="9">
        <v>10</v>
      </c>
      <c r="F195" s="62" t="s">
        <v>799</v>
      </c>
      <c r="G195" s="62" t="s">
        <v>805</v>
      </c>
      <c r="H195" s="68"/>
    </row>
    <row r="196" spans="2:8" x14ac:dyDescent="0.2">
      <c r="B196" s="9" t="s">
        <v>31</v>
      </c>
      <c r="C196" s="9">
        <v>65</v>
      </c>
      <c r="D196" s="9" t="str">
        <f t="shared" si="6"/>
        <v>55+</v>
      </c>
      <c r="E196" s="9">
        <v>9</v>
      </c>
      <c r="F196" s="62" t="s">
        <v>802</v>
      </c>
      <c r="G196" s="62" t="s">
        <v>807</v>
      </c>
      <c r="H196" s="68"/>
    </row>
    <row r="197" spans="2:8" x14ac:dyDescent="0.2">
      <c r="B197" s="9" t="s">
        <v>31</v>
      </c>
      <c r="C197" s="9">
        <v>61</v>
      </c>
      <c r="D197" s="9" t="str">
        <f t="shared" si="6"/>
        <v>55+</v>
      </c>
      <c r="E197" s="9">
        <v>9</v>
      </c>
      <c r="F197" s="62" t="s">
        <v>801</v>
      </c>
      <c r="G197" s="62" t="s">
        <v>806</v>
      </c>
      <c r="H197" s="68"/>
    </row>
  </sheetData>
  <autoFilter ref="B5:H197" xr:uid="{00000000-0009-0000-0000-000004000000}">
    <sortState xmlns:xlrd2="http://schemas.microsoft.com/office/spreadsheetml/2017/richdata2" ref="B6:H197">
      <sortCondition ref="B5:B197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K40"/>
  <sheetViews>
    <sheetView showGridLines="0" workbookViewId="0"/>
  </sheetViews>
  <sheetFormatPr baseColWidth="10" defaultColWidth="9.1640625" defaultRowHeight="15" x14ac:dyDescent="0.2"/>
  <cols>
    <col min="1" max="1" width="1.6640625" customWidth="1"/>
    <col min="2" max="2" width="2.6640625" customWidth="1"/>
    <col min="3" max="3" width="12.6640625" customWidth="1"/>
    <col min="4" max="23" width="10.6640625" customWidth="1"/>
  </cols>
  <sheetData>
    <row r="1" spans="2:8" ht="7" customHeight="1" x14ac:dyDescent="0.2"/>
    <row r="2" spans="2:8" ht="19" x14ac:dyDescent="0.25">
      <c r="B2" s="16" t="s">
        <v>4</v>
      </c>
    </row>
    <row r="3" spans="2:8" ht="16" x14ac:dyDescent="0.2">
      <c r="B3" s="149" t="s">
        <v>1005</v>
      </c>
    </row>
    <row r="5" spans="2:8" ht="16" x14ac:dyDescent="0.2">
      <c r="B5" s="17" t="s">
        <v>1</v>
      </c>
    </row>
    <row r="6" spans="2:8" x14ac:dyDescent="0.2">
      <c r="B6" s="142"/>
    </row>
    <row r="7" spans="2:8" x14ac:dyDescent="0.2">
      <c r="D7" s="27" t="s">
        <v>2</v>
      </c>
      <c r="E7" s="27" t="s">
        <v>20</v>
      </c>
      <c r="F7" s="27" t="s">
        <v>31</v>
      </c>
    </row>
    <row r="8" spans="2:8" x14ac:dyDescent="0.2">
      <c r="C8" s="6" t="s">
        <v>822</v>
      </c>
      <c r="D8" s="75"/>
      <c r="E8" s="75"/>
      <c r="F8" s="75"/>
      <c r="H8" s="1"/>
    </row>
    <row r="9" spans="2:8" x14ac:dyDescent="0.2">
      <c r="C9" s="6" t="s">
        <v>846</v>
      </c>
      <c r="D9" s="75"/>
      <c r="E9" s="75"/>
      <c r="F9" s="75"/>
      <c r="H9" s="1"/>
    </row>
    <row r="10" spans="2:8" x14ac:dyDescent="0.2">
      <c r="C10" s="6" t="s">
        <v>829</v>
      </c>
      <c r="D10" s="64"/>
      <c r="E10" s="64"/>
      <c r="F10" s="64"/>
      <c r="H10" s="1"/>
    </row>
    <row r="11" spans="2:8" x14ac:dyDescent="0.2">
      <c r="C11" s="6" t="s">
        <v>827</v>
      </c>
      <c r="D11" s="8"/>
      <c r="E11" s="8"/>
      <c r="F11" s="8"/>
      <c r="H11" s="1"/>
    </row>
    <row r="12" spans="2:8" x14ac:dyDescent="0.2">
      <c r="C12" s="6" t="s">
        <v>792</v>
      </c>
      <c r="D12" s="8"/>
      <c r="E12" s="8"/>
      <c r="F12" s="8"/>
      <c r="H12" s="1"/>
    </row>
    <row r="13" spans="2:8" x14ac:dyDescent="0.2">
      <c r="C13" s="6" t="s">
        <v>818</v>
      </c>
      <c r="D13" s="71"/>
      <c r="E13" s="71"/>
      <c r="F13" s="71"/>
      <c r="H13" s="1"/>
    </row>
    <row r="14" spans="2:8" x14ac:dyDescent="0.2">
      <c r="C14" s="6" t="s">
        <v>26</v>
      </c>
      <c r="D14" s="65"/>
      <c r="E14" s="65"/>
      <c r="F14" s="65"/>
    </row>
    <row r="17" spans="2:11" x14ac:dyDescent="0.2">
      <c r="C17" s="111" t="s">
        <v>909</v>
      </c>
      <c r="I17" s="119"/>
    </row>
    <row r="18" spans="2:11" x14ac:dyDescent="0.2">
      <c r="C18" s="111" t="s">
        <v>910</v>
      </c>
      <c r="I18" s="119"/>
    </row>
    <row r="19" spans="2:11" x14ac:dyDescent="0.2">
      <c r="C19" s="111" t="s">
        <v>1001</v>
      </c>
      <c r="I19" s="119"/>
    </row>
    <row r="20" spans="2:11" x14ac:dyDescent="0.2">
      <c r="C20" s="111" t="s">
        <v>917</v>
      </c>
      <c r="I20" s="145"/>
      <c r="J20" s="147"/>
      <c r="K20" s="146"/>
    </row>
    <row r="25" spans="2:11" x14ac:dyDescent="0.2">
      <c r="C25" s="111" t="s">
        <v>918</v>
      </c>
      <c r="I25" s="145"/>
      <c r="J25" s="147"/>
      <c r="K25" s="146"/>
    </row>
    <row r="28" spans="2:11" ht="16" x14ac:dyDescent="0.2">
      <c r="B28" s="17" t="s">
        <v>793</v>
      </c>
    </row>
    <row r="30" spans="2:11" x14ac:dyDescent="0.2">
      <c r="D30" s="48" t="s">
        <v>2</v>
      </c>
      <c r="E30" s="48" t="s">
        <v>20</v>
      </c>
      <c r="F30" s="48" t="s">
        <v>31</v>
      </c>
    </row>
    <row r="31" spans="2:11" x14ac:dyDescent="0.2">
      <c r="C31" t="s">
        <v>792</v>
      </c>
      <c r="D31" s="3">
        <f>D12</f>
        <v>0</v>
      </c>
      <c r="E31" s="3">
        <f>E12</f>
        <v>0</v>
      </c>
      <c r="F31" s="3">
        <f>F12</f>
        <v>0</v>
      </c>
    </row>
    <row r="32" spans="2:11" x14ac:dyDescent="0.2">
      <c r="C32" t="s">
        <v>29</v>
      </c>
      <c r="D32" s="66"/>
      <c r="E32" s="36">
        <f>D32</f>
        <v>0</v>
      </c>
      <c r="F32" s="36">
        <f>D32</f>
        <v>0</v>
      </c>
    </row>
    <row r="33" spans="3:7" x14ac:dyDescent="0.2">
      <c r="C33" t="s">
        <v>794</v>
      </c>
      <c r="D33" s="3">
        <f>D31*D32</f>
        <v>0</v>
      </c>
      <c r="E33" s="3">
        <f>E31*E32</f>
        <v>0</v>
      </c>
      <c r="F33" s="3">
        <f>F31*F32</f>
        <v>0</v>
      </c>
    </row>
    <row r="34" spans="3:7" x14ac:dyDescent="0.2">
      <c r="C34" t="s">
        <v>795</v>
      </c>
      <c r="D34" s="69"/>
      <c r="E34" s="69"/>
      <c r="F34" s="69"/>
      <c r="G34" s="72"/>
    </row>
    <row r="35" spans="3:7" x14ac:dyDescent="0.2">
      <c r="C35" t="s">
        <v>796</v>
      </c>
      <c r="D35" s="66"/>
      <c r="E35" s="36">
        <f>D35</f>
        <v>0</v>
      </c>
      <c r="F35" s="36">
        <f>D35</f>
        <v>0</v>
      </c>
    </row>
    <row r="36" spans="3:7" x14ac:dyDescent="0.2">
      <c r="C36" t="s">
        <v>797</v>
      </c>
      <c r="D36" s="3"/>
      <c r="E36" s="3"/>
      <c r="F36" s="3"/>
    </row>
    <row r="37" spans="3:7" x14ac:dyDescent="0.2">
      <c r="C37" t="s">
        <v>827</v>
      </c>
      <c r="D37" s="82">
        <f>-D11</f>
        <v>0</v>
      </c>
      <c r="E37" s="82">
        <f>-E11</f>
        <v>0</v>
      </c>
      <c r="F37" s="82">
        <f>-F11</f>
        <v>0</v>
      </c>
    </row>
    <row r="38" spans="3:7" x14ac:dyDescent="0.2">
      <c r="C38" s="83" t="s">
        <v>911</v>
      </c>
      <c r="D38" s="84"/>
      <c r="E38" s="84"/>
      <c r="F38" s="84"/>
    </row>
    <row r="40" spans="3:7" x14ac:dyDescent="0.2">
      <c r="C40" s="50" t="s">
        <v>912</v>
      </c>
    </row>
  </sheetData>
  <dataValidations count="1">
    <dataValidation type="list" allowBlank="1" showInputMessage="1" showErrorMessage="1" sqref="I17:I18" xr:uid="{00000000-0002-0000-0500-000000000000}">
      <formula1>"Millennial, Gen X, Baby Boomer"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I56"/>
  <sheetViews>
    <sheetView showGridLines="0" workbookViewId="0"/>
  </sheetViews>
  <sheetFormatPr baseColWidth="10" defaultColWidth="9.1640625" defaultRowHeight="15" x14ac:dyDescent="0.2"/>
  <cols>
    <col min="1" max="1" width="1.6640625" customWidth="1"/>
    <col min="2" max="2" width="2.6640625" customWidth="1"/>
    <col min="3" max="17" width="10.6640625" customWidth="1"/>
  </cols>
  <sheetData>
    <row r="1" spans="2:7" ht="7" customHeight="1" x14ac:dyDescent="0.2"/>
    <row r="2" spans="2:7" ht="19" x14ac:dyDescent="0.25">
      <c r="B2" s="16" t="s">
        <v>4</v>
      </c>
    </row>
    <row r="3" spans="2:7" ht="16" x14ac:dyDescent="0.2">
      <c r="B3" s="149" t="s">
        <v>789</v>
      </c>
    </row>
    <row r="5" spans="2:7" ht="16" x14ac:dyDescent="0.2">
      <c r="B5" s="17" t="s">
        <v>789</v>
      </c>
    </row>
    <row r="7" spans="2:7" x14ac:dyDescent="0.2">
      <c r="C7" s="27" t="s">
        <v>790</v>
      </c>
      <c r="D7" s="27" t="s">
        <v>2</v>
      </c>
      <c r="E7" s="27" t="s">
        <v>20</v>
      </c>
      <c r="F7" s="27" t="s">
        <v>31</v>
      </c>
      <c r="G7" s="60"/>
    </row>
    <row r="8" spans="2:7" x14ac:dyDescent="0.2">
      <c r="C8" s="9">
        <v>0</v>
      </c>
      <c r="D8" s="61"/>
      <c r="E8" s="61"/>
      <c r="F8" s="61"/>
      <c r="G8" s="60"/>
    </row>
    <row r="9" spans="2:7" x14ac:dyDescent="0.2">
      <c r="C9" s="9">
        <v>1</v>
      </c>
      <c r="D9" s="61"/>
      <c r="E9" s="61"/>
      <c r="F9" s="61"/>
      <c r="G9" s="60"/>
    </row>
    <row r="10" spans="2:7" x14ac:dyDescent="0.2">
      <c r="C10" s="9">
        <v>2</v>
      </c>
      <c r="D10" s="61"/>
      <c r="E10" s="61"/>
      <c r="F10" s="61"/>
      <c r="G10" s="60"/>
    </row>
    <row r="11" spans="2:7" x14ac:dyDescent="0.2">
      <c r="C11" s="9">
        <v>3</v>
      </c>
      <c r="D11" s="61"/>
      <c r="E11" s="61"/>
      <c r="F11" s="61"/>
      <c r="G11" s="60"/>
    </row>
    <row r="12" spans="2:7" x14ac:dyDescent="0.2">
      <c r="C12" s="9">
        <v>4</v>
      </c>
      <c r="D12" s="61"/>
      <c r="E12" s="61"/>
      <c r="F12" s="61"/>
      <c r="G12" s="60"/>
    </row>
    <row r="13" spans="2:7" x14ac:dyDescent="0.2">
      <c r="C13" s="9">
        <v>5</v>
      </c>
      <c r="D13" s="61"/>
      <c r="E13" s="61"/>
      <c r="F13" s="61"/>
      <c r="G13" s="60"/>
    </row>
    <row r="14" spans="2:7" x14ac:dyDescent="0.2">
      <c r="C14" s="9">
        <v>6</v>
      </c>
      <c r="D14" s="61"/>
      <c r="E14" s="61"/>
      <c r="F14" s="61"/>
      <c r="G14" s="60"/>
    </row>
    <row r="15" spans="2:7" x14ac:dyDescent="0.2">
      <c r="C15" s="9">
        <v>7</v>
      </c>
      <c r="D15" s="61"/>
      <c r="E15" s="61"/>
      <c r="F15" s="61"/>
      <c r="G15" s="60"/>
    </row>
    <row r="16" spans="2:7" x14ac:dyDescent="0.2">
      <c r="C16" s="9">
        <v>8</v>
      </c>
      <c r="D16" s="61"/>
      <c r="E16" s="61"/>
      <c r="F16" s="61"/>
      <c r="G16" s="60"/>
    </row>
    <row r="17" spans="3:9" x14ac:dyDescent="0.2">
      <c r="C17" s="9">
        <v>9</v>
      </c>
      <c r="D17" s="61"/>
      <c r="E17" s="61"/>
      <c r="F17" s="61"/>
      <c r="G17" s="60"/>
    </row>
    <row r="18" spans="3:9" x14ac:dyDescent="0.2">
      <c r="C18" s="9">
        <v>10</v>
      </c>
      <c r="D18" s="61"/>
      <c r="E18" s="61"/>
      <c r="F18" s="61"/>
      <c r="G18" s="60"/>
    </row>
    <row r="19" spans="3:9" x14ac:dyDescent="0.2">
      <c r="C19" s="59"/>
      <c r="D19" s="59"/>
      <c r="E19" s="60"/>
      <c r="F19" s="59"/>
      <c r="G19" s="60"/>
    </row>
    <row r="20" spans="3:9" x14ac:dyDescent="0.2">
      <c r="D20" s="27" t="s">
        <v>2</v>
      </c>
      <c r="E20" s="27" t="s">
        <v>20</v>
      </c>
      <c r="F20" s="27" t="s">
        <v>31</v>
      </c>
      <c r="G20" s="60"/>
    </row>
    <row r="21" spans="3:9" x14ac:dyDescent="0.2">
      <c r="C21" s="62" t="s">
        <v>791</v>
      </c>
      <c r="D21" s="63"/>
      <c r="E21" s="63"/>
      <c r="F21" s="63"/>
      <c r="G21" s="60"/>
    </row>
    <row r="32" spans="3:9" x14ac:dyDescent="0.2">
      <c r="I32" s="58"/>
    </row>
    <row r="33" spans="9:9" x14ac:dyDescent="0.2">
      <c r="I33" s="58"/>
    </row>
    <row r="34" spans="9:9" x14ac:dyDescent="0.2">
      <c r="I34" s="58"/>
    </row>
    <row r="35" spans="9:9" x14ac:dyDescent="0.2">
      <c r="I35" s="58"/>
    </row>
    <row r="36" spans="9:9" x14ac:dyDescent="0.2">
      <c r="I36" s="58"/>
    </row>
    <row r="37" spans="9:9" x14ac:dyDescent="0.2">
      <c r="I37" s="58"/>
    </row>
    <row r="38" spans="9:9" x14ac:dyDescent="0.2">
      <c r="I38" s="58"/>
    </row>
    <row r="43" spans="9:9" x14ac:dyDescent="0.2">
      <c r="I43" s="2"/>
    </row>
    <row r="56" spans="9:9" x14ac:dyDescent="0.2">
      <c r="I56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H36"/>
  <sheetViews>
    <sheetView showGridLines="0" workbookViewId="0"/>
  </sheetViews>
  <sheetFormatPr baseColWidth="10" defaultColWidth="9.1640625" defaultRowHeight="15" x14ac:dyDescent="0.2"/>
  <cols>
    <col min="1" max="1" width="1.6640625" customWidth="1"/>
    <col min="2" max="2" width="2.6640625" customWidth="1"/>
    <col min="3" max="3" width="25.6640625" customWidth="1"/>
    <col min="4" max="16" width="10.6640625" customWidth="1"/>
  </cols>
  <sheetData>
    <row r="1" spans="2:8" ht="7" customHeight="1" x14ac:dyDescent="0.2"/>
    <row r="2" spans="2:8" ht="19" x14ac:dyDescent="0.25">
      <c r="B2" s="16" t="s">
        <v>4</v>
      </c>
    </row>
    <row r="3" spans="2:8" ht="16" x14ac:dyDescent="0.2">
      <c r="B3" s="149" t="s">
        <v>1006</v>
      </c>
    </row>
    <row r="5" spans="2:8" ht="16" x14ac:dyDescent="0.2">
      <c r="B5" s="17" t="s">
        <v>815</v>
      </c>
    </row>
    <row r="7" spans="2:8" x14ac:dyDescent="0.2">
      <c r="C7" s="27" t="s">
        <v>816</v>
      </c>
      <c r="D7" s="27" t="s">
        <v>2</v>
      </c>
      <c r="E7" s="27" t="s">
        <v>20</v>
      </c>
      <c r="F7" s="27" t="s">
        <v>31</v>
      </c>
      <c r="G7" s="60"/>
      <c r="H7" s="60"/>
    </row>
    <row r="8" spans="2:8" x14ac:dyDescent="0.2">
      <c r="C8" s="62" t="s">
        <v>799</v>
      </c>
      <c r="D8" s="61"/>
      <c r="E8" s="61"/>
      <c r="F8" s="61"/>
      <c r="G8" s="60"/>
      <c r="H8" s="60"/>
    </row>
    <row r="9" spans="2:8" x14ac:dyDescent="0.2">
      <c r="C9" s="62" t="s">
        <v>800</v>
      </c>
      <c r="D9" s="61"/>
      <c r="E9" s="61"/>
      <c r="F9" s="61"/>
      <c r="G9" s="60"/>
      <c r="H9" s="60"/>
    </row>
    <row r="10" spans="2:8" x14ac:dyDescent="0.2">
      <c r="C10" s="62" t="s">
        <v>1000</v>
      </c>
      <c r="D10" s="61"/>
      <c r="E10" s="61"/>
      <c r="F10" s="61"/>
      <c r="G10" s="60"/>
      <c r="H10" s="60"/>
    </row>
    <row r="11" spans="2:8" x14ac:dyDescent="0.2">
      <c r="C11" s="62" t="s">
        <v>802</v>
      </c>
      <c r="D11" s="61"/>
      <c r="E11" s="61"/>
      <c r="F11" s="61"/>
      <c r="G11" s="60"/>
      <c r="H11" s="60"/>
    </row>
    <row r="12" spans="2:8" x14ac:dyDescent="0.2">
      <c r="C12" s="62" t="s">
        <v>803</v>
      </c>
      <c r="D12" s="61"/>
      <c r="E12" s="61"/>
      <c r="F12" s="61"/>
      <c r="G12" s="60"/>
      <c r="H12" s="60"/>
    </row>
    <row r="13" spans="2:8" x14ac:dyDescent="0.2">
      <c r="C13" s="62" t="s">
        <v>801</v>
      </c>
      <c r="D13" s="61"/>
      <c r="E13" s="61"/>
      <c r="F13" s="61"/>
      <c r="G13" s="60"/>
      <c r="H13" s="60"/>
    </row>
    <row r="14" spans="2:8" x14ac:dyDescent="0.2">
      <c r="C14" s="59"/>
      <c r="D14" s="59"/>
      <c r="E14" s="60"/>
      <c r="F14" s="59"/>
      <c r="G14" s="60"/>
      <c r="H14" s="60"/>
    </row>
    <row r="15" spans="2:8" x14ac:dyDescent="0.2">
      <c r="C15" s="111" t="s">
        <v>919</v>
      </c>
      <c r="F15" s="119"/>
    </row>
    <row r="16" spans="2:8" x14ac:dyDescent="0.2">
      <c r="C16" s="111" t="s">
        <v>920</v>
      </c>
      <c r="F16" s="119"/>
    </row>
    <row r="17" spans="2:8" x14ac:dyDescent="0.2">
      <c r="C17" s="111" t="s">
        <v>921</v>
      </c>
      <c r="F17" s="145"/>
      <c r="G17" s="147"/>
      <c r="H17" s="146"/>
    </row>
    <row r="19" spans="2:8" ht="16" x14ac:dyDescent="0.2">
      <c r="B19" s="17" t="s">
        <v>1002</v>
      </c>
    </row>
    <row r="21" spans="2:8" x14ac:dyDescent="0.2">
      <c r="C21" s="27" t="s">
        <v>817</v>
      </c>
      <c r="D21" s="27" t="s">
        <v>2</v>
      </c>
      <c r="E21" s="27" t="s">
        <v>20</v>
      </c>
      <c r="F21" s="27" t="s">
        <v>31</v>
      </c>
    </row>
    <row r="22" spans="2:8" x14ac:dyDescent="0.2">
      <c r="C22" s="62" t="s">
        <v>805</v>
      </c>
      <c r="D22" s="61"/>
      <c r="E22" s="61"/>
      <c r="F22" s="61"/>
    </row>
    <row r="23" spans="2:8" x14ac:dyDescent="0.2">
      <c r="C23" s="62" t="s">
        <v>807</v>
      </c>
      <c r="D23" s="61"/>
      <c r="E23" s="61"/>
      <c r="F23" s="61"/>
    </row>
    <row r="24" spans="2:8" x14ac:dyDescent="0.2">
      <c r="C24" s="62" t="s">
        <v>806</v>
      </c>
      <c r="D24" s="61"/>
      <c r="E24" s="61"/>
      <c r="F24" s="61"/>
    </row>
    <row r="25" spans="2:8" x14ac:dyDescent="0.2">
      <c r="C25" s="62" t="s">
        <v>808</v>
      </c>
      <c r="D25" s="61"/>
      <c r="E25" s="61"/>
      <c r="F25" s="61"/>
    </row>
    <row r="26" spans="2:8" x14ac:dyDescent="0.2">
      <c r="C26" s="62" t="s">
        <v>809</v>
      </c>
      <c r="D26" s="61"/>
      <c r="E26" s="61"/>
      <c r="F26" s="61"/>
    </row>
    <row r="28" spans="2:8" x14ac:dyDescent="0.2">
      <c r="D28" s="27" t="s">
        <v>2</v>
      </c>
      <c r="E28" s="27" t="s">
        <v>20</v>
      </c>
      <c r="F28" s="27" t="s">
        <v>31</v>
      </c>
    </row>
    <row r="29" spans="2:8" x14ac:dyDescent="0.2">
      <c r="C29" s="62" t="s">
        <v>819</v>
      </c>
      <c r="D29" s="63"/>
      <c r="E29" s="63"/>
      <c r="F29" s="63"/>
    </row>
    <row r="31" spans="2:8" x14ac:dyDescent="0.2">
      <c r="C31" s="111" t="s">
        <v>922</v>
      </c>
      <c r="F31" s="145"/>
      <c r="G31" s="147"/>
      <c r="H31" s="146"/>
    </row>
    <row r="36" spans="3:8" x14ac:dyDescent="0.2">
      <c r="C36" s="50" t="s">
        <v>923</v>
      </c>
      <c r="F36" s="101"/>
      <c r="G36" s="101"/>
      <c r="H36" s="101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1:AB32"/>
  <sheetViews>
    <sheetView showGridLines="0" workbookViewId="0"/>
  </sheetViews>
  <sheetFormatPr baseColWidth="10" defaultColWidth="9.1640625" defaultRowHeight="15" x14ac:dyDescent="0.2"/>
  <cols>
    <col min="1" max="1" width="1.6640625" customWidth="1"/>
    <col min="2" max="2" width="15.6640625" customWidth="1"/>
    <col min="3" max="12" width="12.6640625" customWidth="1"/>
  </cols>
  <sheetData>
    <row r="1" spans="2:28" ht="7" customHeight="1" x14ac:dyDescent="0.2"/>
    <row r="2" spans="2:28" ht="19" x14ac:dyDescent="0.25">
      <c r="B2" s="16" t="s">
        <v>1007</v>
      </c>
      <c r="C2" s="16"/>
      <c r="E2" s="1"/>
    </row>
    <row r="3" spans="2:28" x14ac:dyDescent="0.2">
      <c r="B3" s="73"/>
      <c r="C3" s="14"/>
      <c r="D3" s="98" t="s">
        <v>873</v>
      </c>
      <c r="E3" s="97"/>
      <c r="F3" s="57"/>
      <c r="G3" s="11"/>
      <c r="H3" s="11"/>
      <c r="I3" s="11"/>
      <c r="J3" s="11"/>
      <c r="K3" s="11"/>
      <c r="L3" s="11"/>
    </row>
    <row r="4" spans="2:28" ht="16" x14ac:dyDescent="0.2">
      <c r="B4" s="4"/>
      <c r="C4" s="4"/>
      <c r="F4" s="11"/>
    </row>
    <row r="5" spans="2:28" ht="32" x14ac:dyDescent="0.2">
      <c r="B5" s="34" t="s">
        <v>816</v>
      </c>
      <c r="C5" s="34" t="s">
        <v>820</v>
      </c>
      <c r="D5" s="13" t="s">
        <v>821</v>
      </c>
      <c r="E5" s="13" t="s">
        <v>831</v>
      </c>
      <c r="F5" s="13" t="s">
        <v>27</v>
      </c>
      <c r="G5" s="13" t="s">
        <v>823</v>
      </c>
      <c r="H5" s="13" t="s">
        <v>822</v>
      </c>
      <c r="I5" s="70" t="s">
        <v>827</v>
      </c>
      <c r="J5" s="70" t="s">
        <v>824</v>
      </c>
      <c r="K5" s="13" t="s">
        <v>825</v>
      </c>
      <c r="L5" s="13" t="s">
        <v>826</v>
      </c>
    </row>
    <row r="6" spans="2:28" x14ac:dyDescent="0.2">
      <c r="B6" s="6" t="s">
        <v>20</v>
      </c>
      <c r="C6" s="74">
        <f>'1.1 PPC Analyis'!E17</f>
        <v>0</v>
      </c>
      <c r="D6" s="77">
        <f>'1.1 PPC Analyis'!E15</f>
        <v>0</v>
      </c>
      <c r="E6" s="78"/>
      <c r="F6" s="74">
        <f>'1.1 PPC Analyis'!E18</f>
        <v>0</v>
      </c>
      <c r="G6" s="79"/>
      <c r="H6" s="76">
        <f>'1.2 Customer Analysis'!E8</f>
        <v>0</v>
      </c>
      <c r="I6" s="77"/>
      <c r="J6" s="79"/>
      <c r="K6" s="80">
        <f>'1.2 Customer Analysis'!E12</f>
        <v>0</v>
      </c>
      <c r="L6" s="79">
        <f>'1.4 Survey Analysis'!E29</f>
        <v>0</v>
      </c>
    </row>
    <row r="7" spans="2:28" x14ac:dyDescent="0.2">
      <c r="B7" s="6" t="s">
        <v>851</v>
      </c>
      <c r="C7" s="74">
        <f>'1.1 PPC Analyis'!F17</f>
        <v>0</v>
      </c>
      <c r="D7" s="77">
        <f>'1.1 PPC Analyis'!F15</f>
        <v>0</v>
      </c>
      <c r="E7" s="78"/>
      <c r="F7" s="74">
        <f>'1.1 PPC Analyis'!F18</f>
        <v>0</v>
      </c>
      <c r="G7" s="79"/>
      <c r="H7" s="76">
        <f>'1.2 Customer Analysis'!F8</f>
        <v>0</v>
      </c>
      <c r="I7" s="77"/>
      <c r="J7" s="79"/>
      <c r="K7" s="80">
        <f>'1.2 Customer Analysis'!F12</f>
        <v>0</v>
      </c>
      <c r="L7" s="79">
        <f>'1.4 Survey Analysis'!F29</f>
        <v>0</v>
      </c>
    </row>
    <row r="8" spans="2:28" x14ac:dyDescent="0.2">
      <c r="B8" s="93" t="s">
        <v>848</v>
      </c>
      <c r="C8" s="106"/>
      <c r="D8" s="107"/>
      <c r="E8" s="95"/>
      <c r="F8" s="106"/>
      <c r="G8" s="96"/>
      <c r="H8" s="105"/>
      <c r="I8" s="94"/>
      <c r="J8" s="96"/>
      <c r="K8" s="103"/>
      <c r="L8" s="104"/>
    </row>
    <row r="9" spans="2:28" x14ac:dyDescent="0.2">
      <c r="B9" s="93" t="s">
        <v>856</v>
      </c>
      <c r="C9" s="106"/>
      <c r="D9" s="107"/>
      <c r="E9" s="95"/>
      <c r="F9" s="106"/>
      <c r="G9" s="100"/>
      <c r="H9" s="105"/>
      <c r="I9" s="94"/>
      <c r="J9" s="96"/>
      <c r="K9" s="103"/>
      <c r="L9" s="104"/>
    </row>
    <row r="10" spans="2:28" x14ac:dyDescent="0.2">
      <c r="F10" s="67"/>
    </row>
    <row r="11" spans="2:28" x14ac:dyDescent="0.2">
      <c r="F11" s="67"/>
    </row>
    <row r="12" spans="2:28" ht="16" x14ac:dyDescent="0.2">
      <c r="B12" s="17" t="s">
        <v>793</v>
      </c>
      <c r="J12" s="81"/>
    </row>
    <row r="13" spans="2:28" x14ac:dyDescent="0.2">
      <c r="J13" s="35"/>
    </row>
    <row r="14" spans="2:28" x14ac:dyDescent="0.2">
      <c r="C14" s="48" t="str">
        <f>B6</f>
        <v>AdWords</v>
      </c>
      <c r="D14" s="48" t="str">
        <f>B7</f>
        <v>Facebook Ad</v>
      </c>
      <c r="E14" s="48" t="str">
        <f>B8</f>
        <v>LinkedIn Ad</v>
      </c>
      <c r="F14" s="48" t="str">
        <f>B9</f>
        <v>Spotify Ad</v>
      </c>
      <c r="G14" s="92"/>
      <c r="H14" s="3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</row>
    <row r="15" spans="2:28" x14ac:dyDescent="0.2">
      <c r="B15" t="s">
        <v>792</v>
      </c>
      <c r="C15" s="81">
        <f>K6</f>
        <v>0</v>
      </c>
      <c r="D15" s="81">
        <f>K7</f>
        <v>0</v>
      </c>
      <c r="E15" s="81">
        <f>K8</f>
        <v>0</v>
      </c>
      <c r="F15" s="81">
        <f>K9</f>
        <v>0</v>
      </c>
      <c r="G15" s="81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2:28" x14ac:dyDescent="0.2">
      <c r="B16" t="s">
        <v>29</v>
      </c>
      <c r="C16" s="66"/>
      <c r="D16" s="36">
        <f>$C$16</f>
        <v>0</v>
      </c>
      <c r="E16" s="36">
        <f>$C$16</f>
        <v>0</v>
      </c>
      <c r="F16" s="36">
        <f>$C$16</f>
        <v>0</v>
      </c>
      <c r="G16" s="35"/>
      <c r="H16" s="86"/>
    </row>
    <row r="17" spans="2:7" x14ac:dyDescent="0.2">
      <c r="B17" t="s">
        <v>794</v>
      </c>
      <c r="C17" s="81"/>
      <c r="D17" s="81"/>
      <c r="E17" s="81"/>
      <c r="F17" s="81"/>
      <c r="G17" s="81"/>
    </row>
    <row r="18" spans="2:7" x14ac:dyDescent="0.2">
      <c r="B18" t="s">
        <v>795</v>
      </c>
      <c r="C18" s="69">
        <f>L6</f>
        <v>0</v>
      </c>
      <c r="D18" s="87">
        <f>L7</f>
        <v>0</v>
      </c>
      <c r="E18" s="69">
        <f>L8</f>
        <v>0</v>
      </c>
      <c r="F18" s="69">
        <f>L9</f>
        <v>0</v>
      </c>
      <c r="G18" s="69"/>
    </row>
    <row r="19" spans="2:7" x14ac:dyDescent="0.2">
      <c r="B19" t="s">
        <v>796</v>
      </c>
      <c r="C19" s="66"/>
      <c r="D19" s="36">
        <f>$C$19</f>
        <v>0</v>
      </c>
      <c r="E19" s="36">
        <f>$C$19</f>
        <v>0</v>
      </c>
      <c r="F19" s="36">
        <f>$C$19</f>
        <v>0</v>
      </c>
      <c r="G19" s="35"/>
    </row>
    <row r="20" spans="2:7" x14ac:dyDescent="0.2">
      <c r="B20" t="s">
        <v>797</v>
      </c>
      <c r="C20" s="81"/>
      <c r="D20" s="81"/>
      <c r="E20" s="81"/>
      <c r="F20" s="81"/>
      <c r="G20" s="81"/>
    </row>
    <row r="21" spans="2:7" x14ac:dyDescent="0.2">
      <c r="B21" t="s">
        <v>827</v>
      </c>
      <c r="C21" s="82">
        <f>-I6</f>
        <v>0</v>
      </c>
      <c r="D21" s="82">
        <f>-I7</f>
        <v>0</v>
      </c>
      <c r="E21" s="82">
        <f>-I8</f>
        <v>0</v>
      </c>
      <c r="F21" s="82">
        <f>-I9</f>
        <v>0</v>
      </c>
      <c r="G21" s="81"/>
    </row>
    <row r="22" spans="2:7" x14ac:dyDescent="0.2">
      <c r="B22" s="83" t="s">
        <v>828</v>
      </c>
      <c r="C22" s="85"/>
      <c r="D22" s="85"/>
      <c r="E22" s="85"/>
      <c r="F22" s="85"/>
      <c r="G22" s="85"/>
    </row>
    <row r="25" spans="2:7" ht="16" x14ac:dyDescent="0.2">
      <c r="B25" s="17" t="s">
        <v>830</v>
      </c>
    </row>
    <row r="26" spans="2:7" ht="16" x14ac:dyDescent="0.2">
      <c r="B26" s="17"/>
    </row>
    <row r="27" spans="2:7" x14ac:dyDescent="0.2">
      <c r="C27" s="48" t="str">
        <f>C14</f>
        <v>AdWords</v>
      </c>
      <c r="D27" s="48" t="str">
        <f t="shared" ref="D27:F27" si="0">D14</f>
        <v>Facebook Ad</v>
      </c>
      <c r="E27" s="48" t="str">
        <f t="shared" si="0"/>
        <v>LinkedIn Ad</v>
      </c>
      <c r="F27" s="48" t="str">
        <f t="shared" si="0"/>
        <v>Spotify Ad</v>
      </c>
    </row>
    <row r="28" spans="2:7" x14ac:dyDescent="0.2">
      <c r="B28" t="s">
        <v>21</v>
      </c>
      <c r="C28" s="33"/>
      <c r="D28" s="88">
        <f>$C$28</f>
        <v>0</v>
      </c>
      <c r="E28" s="88">
        <f>$C$28</f>
        <v>0</v>
      </c>
      <c r="F28" s="88">
        <f>$C$28</f>
        <v>0</v>
      </c>
    </row>
    <row r="29" spans="2:7" x14ac:dyDescent="0.2">
      <c r="B29" t="s">
        <v>832</v>
      </c>
      <c r="C29" s="31">
        <f>E6</f>
        <v>0</v>
      </c>
      <c r="D29" s="31">
        <f>E7</f>
        <v>0</v>
      </c>
      <c r="E29" s="31">
        <f>E8</f>
        <v>0</v>
      </c>
      <c r="F29" s="31">
        <f>E9</f>
        <v>0</v>
      </c>
    </row>
    <row r="30" spans="2:7" x14ac:dyDescent="0.2">
      <c r="B30" s="5" t="s">
        <v>833</v>
      </c>
      <c r="C30" s="37"/>
      <c r="D30" s="37"/>
      <c r="E30" s="37"/>
      <c r="F30" s="37"/>
    </row>
    <row r="31" spans="2:7" x14ac:dyDescent="0.2">
      <c r="B31" t="s">
        <v>834</v>
      </c>
      <c r="C31" s="32">
        <f>J6</f>
        <v>0</v>
      </c>
      <c r="D31" s="32">
        <f>J7</f>
        <v>0</v>
      </c>
      <c r="E31" s="32">
        <f>J8</f>
        <v>0</v>
      </c>
      <c r="F31" s="32">
        <f>J9</f>
        <v>0</v>
      </c>
    </row>
    <row r="32" spans="2:7" x14ac:dyDescent="0.2">
      <c r="B32" s="5" t="s">
        <v>822</v>
      </c>
      <c r="C32" s="89"/>
      <c r="D32" s="89"/>
      <c r="E32" s="89"/>
      <c r="F32" s="89"/>
    </row>
  </sheetData>
  <autoFilter ref="B5:G9" xr:uid="{00000000-0009-0000-0000-000008000000}">
    <sortState xmlns:xlrd2="http://schemas.microsoft.com/office/spreadsheetml/2017/richdata2" ref="B6:N197">
      <sortCondition ref="C5:C197"/>
    </sortState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1:AA154"/>
  <sheetViews>
    <sheetView showGridLines="0" topLeftCell="A29" workbookViewId="0"/>
  </sheetViews>
  <sheetFormatPr baseColWidth="10" defaultColWidth="11.6640625" defaultRowHeight="15" x14ac:dyDescent="0.2"/>
  <cols>
    <col min="1" max="1" width="1.6640625" customWidth="1"/>
    <col min="2" max="2" width="23.6640625" customWidth="1"/>
    <col min="3" max="3" width="11.6640625" customWidth="1"/>
  </cols>
  <sheetData>
    <row r="1" spans="2:3" ht="7" customHeight="1" x14ac:dyDescent="0.2"/>
    <row r="2" spans="2:3" ht="19" x14ac:dyDescent="0.25">
      <c r="B2" s="16" t="s">
        <v>956</v>
      </c>
    </row>
    <row r="3" spans="2:3" s="150" customFormat="1" ht="16" x14ac:dyDescent="0.2">
      <c r="B3" s="143"/>
    </row>
    <row r="4" spans="2:3" ht="16" x14ac:dyDescent="0.2">
      <c r="B4" s="112" t="s">
        <v>838</v>
      </c>
    </row>
    <row r="6" spans="2:3" x14ac:dyDescent="0.2">
      <c r="B6" s="158" t="s">
        <v>926</v>
      </c>
    </row>
    <row r="7" spans="2:3" x14ac:dyDescent="0.2">
      <c r="B7" s="158" t="s">
        <v>927</v>
      </c>
    </row>
    <row r="8" spans="2:3" x14ac:dyDescent="0.2">
      <c r="B8" s="158" t="s">
        <v>928</v>
      </c>
    </row>
    <row r="9" spans="2:3" x14ac:dyDescent="0.2">
      <c r="B9" s="158" t="s">
        <v>1003</v>
      </c>
    </row>
    <row r="10" spans="2:3" x14ac:dyDescent="0.2">
      <c r="B10" s="158" t="s">
        <v>929</v>
      </c>
    </row>
    <row r="13" spans="2:3" ht="16" x14ac:dyDescent="0.2">
      <c r="B13" s="112" t="s">
        <v>877</v>
      </c>
    </row>
    <row r="14" spans="2:3" ht="16" x14ac:dyDescent="0.2">
      <c r="B14" s="112"/>
    </row>
    <row r="15" spans="2:3" x14ac:dyDescent="0.2">
      <c r="B15" s="121" t="s">
        <v>878</v>
      </c>
      <c r="C15" s="120"/>
    </row>
    <row r="17" spans="2:12" x14ac:dyDescent="0.2">
      <c r="B17" s="93" t="s">
        <v>853</v>
      </c>
      <c r="C17" s="122"/>
    </row>
    <row r="18" spans="2:12" x14ac:dyDescent="0.2">
      <c r="B18" s="93" t="s">
        <v>864</v>
      </c>
      <c r="C18" s="123"/>
    </row>
    <row r="19" spans="2:12" x14ac:dyDescent="0.2">
      <c r="B19" s="93" t="s">
        <v>855</v>
      </c>
      <c r="C19" s="124"/>
      <c r="G19" s="11"/>
    </row>
    <row r="21" spans="2:12" x14ac:dyDescent="0.2">
      <c r="B21" s="14" t="s">
        <v>884</v>
      </c>
    </row>
    <row r="22" spans="2:12" ht="7" customHeight="1" thickBot="1" x14ac:dyDescent="0.25">
      <c r="B22" s="14"/>
    </row>
    <row r="23" spans="2:12" ht="32" x14ac:dyDescent="0.2">
      <c r="C23" s="13" t="s">
        <v>835</v>
      </c>
      <c r="D23" s="13" t="s">
        <v>831</v>
      </c>
      <c r="E23" s="13" t="s">
        <v>860</v>
      </c>
      <c r="F23" s="13" t="s">
        <v>861</v>
      </c>
      <c r="G23" s="151" t="s">
        <v>862</v>
      </c>
      <c r="H23" s="155" t="s">
        <v>863</v>
      </c>
      <c r="I23" s="153" t="s">
        <v>837</v>
      </c>
      <c r="J23" s="13" t="s">
        <v>924</v>
      </c>
      <c r="K23" s="13" t="s">
        <v>925</v>
      </c>
      <c r="L23" s="155" t="s">
        <v>863</v>
      </c>
    </row>
    <row r="24" spans="2:12" x14ac:dyDescent="0.2">
      <c r="B24" s="93" t="str">
        <f>'1.5 Ad Channel Data'!B6</f>
        <v>AdWords</v>
      </c>
      <c r="C24" s="122"/>
      <c r="D24" s="24">
        <f>'1.5 Ad Channel Data'!E6</f>
        <v>0</v>
      </c>
      <c r="E24" s="23"/>
      <c r="F24" s="125">
        <f>'1.5 Ad Channel Data'!J6</f>
        <v>0</v>
      </c>
      <c r="G24" s="152"/>
      <c r="H24" s="156"/>
      <c r="I24" s="154"/>
      <c r="J24" s="125">
        <f>'1.5 Ad Channel Data'!L6</f>
        <v>0</v>
      </c>
      <c r="K24" s="126"/>
      <c r="L24" s="156"/>
    </row>
    <row r="25" spans="2:12" x14ac:dyDescent="0.2">
      <c r="B25" s="93" t="str">
        <f>'1.5 Ad Channel Data'!B7</f>
        <v>Facebook Ad</v>
      </c>
      <c r="C25" s="122"/>
      <c r="D25" s="24">
        <f>'1.5 Ad Channel Data'!E7</f>
        <v>0</v>
      </c>
      <c r="E25" s="23"/>
      <c r="F25" s="125">
        <f>'1.5 Ad Channel Data'!J7</f>
        <v>0</v>
      </c>
      <c r="G25" s="152"/>
      <c r="H25" s="156"/>
      <c r="I25" s="154"/>
      <c r="J25" s="125">
        <f>'1.5 Ad Channel Data'!L7</f>
        <v>0</v>
      </c>
      <c r="K25" s="126"/>
      <c r="L25" s="156"/>
    </row>
    <row r="26" spans="2:12" x14ac:dyDescent="0.2">
      <c r="B26" s="93" t="str">
        <f>'1.5 Ad Channel Data'!B8</f>
        <v>LinkedIn Ad</v>
      </c>
      <c r="C26" s="122"/>
      <c r="D26" s="24">
        <f>'1.5 Ad Channel Data'!E8</f>
        <v>0</v>
      </c>
      <c r="E26" s="23"/>
      <c r="F26" s="125">
        <f>'1.5 Ad Channel Data'!J8</f>
        <v>0</v>
      </c>
      <c r="G26" s="171"/>
      <c r="H26" s="156"/>
      <c r="I26" s="154"/>
      <c r="J26" s="125">
        <f>'1.5 Ad Channel Data'!L8</f>
        <v>0</v>
      </c>
      <c r="K26" s="126"/>
      <c r="L26" s="156"/>
    </row>
    <row r="27" spans="2:12" ht="16" thickBot="1" x14ac:dyDescent="0.25">
      <c r="B27" s="93" t="str">
        <f>'1.5 Ad Channel Data'!B9</f>
        <v>Spotify Ad</v>
      </c>
      <c r="C27" s="122"/>
      <c r="D27" s="24">
        <f>'1.5 Ad Channel Data'!E9</f>
        <v>0</v>
      </c>
      <c r="E27" s="23"/>
      <c r="F27" s="125">
        <f>'1.5 Ad Channel Data'!J9</f>
        <v>0</v>
      </c>
      <c r="G27" s="171"/>
      <c r="H27" s="157"/>
      <c r="I27" s="154"/>
      <c r="J27" s="125">
        <f>'1.5 Ad Channel Data'!L9</f>
        <v>0</v>
      </c>
      <c r="K27" s="126"/>
      <c r="L27" s="157"/>
    </row>
    <row r="28" spans="2:12" x14ac:dyDescent="0.2">
      <c r="C28" s="33"/>
      <c r="E28" s="91"/>
      <c r="F28" s="3"/>
      <c r="G28" s="90"/>
    </row>
    <row r="29" spans="2:12" x14ac:dyDescent="0.2">
      <c r="B29" s="14" t="s">
        <v>858</v>
      </c>
      <c r="C29" s="33"/>
      <c r="E29" s="91"/>
      <c r="F29" s="3"/>
      <c r="G29" s="90"/>
    </row>
    <row r="30" spans="2:12" ht="7" customHeight="1" x14ac:dyDescent="0.2">
      <c r="B30" s="14"/>
      <c r="C30" s="33"/>
      <c r="E30" s="91"/>
      <c r="F30" s="3"/>
      <c r="G30" s="90"/>
    </row>
    <row r="31" spans="2:12" ht="32" x14ac:dyDescent="0.2">
      <c r="C31" s="127" t="s">
        <v>879</v>
      </c>
      <c r="D31" s="127" t="s">
        <v>880</v>
      </c>
      <c r="E31" s="127" t="s">
        <v>881</v>
      </c>
      <c r="F31" s="127" t="s">
        <v>882</v>
      </c>
      <c r="G31" s="127" t="s">
        <v>883</v>
      </c>
      <c r="H31" s="127" t="s">
        <v>836</v>
      </c>
      <c r="I31" s="127" t="s">
        <v>826</v>
      </c>
    </row>
    <row r="32" spans="2:12" x14ac:dyDescent="0.2">
      <c r="B32" s="93" t="s">
        <v>847</v>
      </c>
      <c r="C32" s="128">
        <v>2538</v>
      </c>
      <c r="D32" s="129"/>
      <c r="E32" s="129"/>
      <c r="F32" s="65"/>
      <c r="G32" s="129"/>
      <c r="H32" s="122"/>
      <c r="I32" s="129"/>
    </row>
    <row r="33" spans="2:27" x14ac:dyDescent="0.2">
      <c r="B33" s="93" t="s">
        <v>849</v>
      </c>
      <c r="C33" s="128">
        <v>528</v>
      </c>
      <c r="D33" s="129"/>
      <c r="E33" s="129"/>
      <c r="F33" s="65"/>
      <c r="G33" s="129"/>
      <c r="H33" s="122"/>
      <c r="I33" s="129"/>
    </row>
    <row r="34" spans="2:27" x14ac:dyDescent="0.2">
      <c r="B34" s="93" t="s">
        <v>850</v>
      </c>
      <c r="C34" s="128">
        <v>190</v>
      </c>
      <c r="D34" s="129"/>
      <c r="E34" s="129"/>
      <c r="F34" s="65"/>
      <c r="G34" s="129"/>
      <c r="H34" s="122"/>
      <c r="I34" s="129"/>
    </row>
    <row r="36" spans="2:27" ht="16" x14ac:dyDescent="0.2">
      <c r="C36" s="127" t="s">
        <v>836</v>
      </c>
      <c r="D36" s="127" t="s">
        <v>826</v>
      </c>
    </row>
    <row r="37" spans="2:27" x14ac:dyDescent="0.2">
      <c r="B37" s="93" t="str">
        <f>B24</f>
        <v>AdWords</v>
      </c>
      <c r="C37" s="8">
        <f>'1.5 Ad Channel Data'!K6</f>
        <v>0</v>
      </c>
      <c r="D37" s="130">
        <f>L24</f>
        <v>0</v>
      </c>
    </row>
    <row r="38" spans="2:27" x14ac:dyDescent="0.2">
      <c r="B38" s="93" t="str">
        <f>B25</f>
        <v>Facebook Ad</v>
      </c>
      <c r="C38" s="8">
        <f>'1.5 Ad Channel Data'!K7</f>
        <v>0</v>
      </c>
      <c r="D38" s="130">
        <f>L25</f>
        <v>0</v>
      </c>
    </row>
    <row r="39" spans="2:27" x14ac:dyDescent="0.2">
      <c r="B39" s="93" t="str">
        <f>B26</f>
        <v>LinkedIn Ad</v>
      </c>
      <c r="C39" s="8">
        <f>'1.5 Ad Channel Data'!K8</f>
        <v>0</v>
      </c>
      <c r="D39" s="130">
        <f>L26</f>
        <v>0</v>
      </c>
    </row>
    <row r="40" spans="2:27" x14ac:dyDescent="0.2">
      <c r="B40" s="93" t="str">
        <f>B27</f>
        <v>Spotify Ad</v>
      </c>
      <c r="C40" s="8">
        <f>'1.5 Ad Channel Data'!K9</f>
        <v>0</v>
      </c>
      <c r="D40" s="130">
        <f>L27</f>
        <v>0</v>
      </c>
    </row>
    <row r="41" spans="2:27" x14ac:dyDescent="0.2">
      <c r="B41" s="93" t="str">
        <f>B32</f>
        <v>Facebook Organic</v>
      </c>
      <c r="C41" s="8">
        <f t="shared" ref="C41:D43" si="0">H32</f>
        <v>0</v>
      </c>
      <c r="D41" s="130">
        <f t="shared" si="0"/>
        <v>0</v>
      </c>
    </row>
    <row r="42" spans="2:27" x14ac:dyDescent="0.2">
      <c r="B42" s="93" t="str">
        <f>B33</f>
        <v>LinkedIn Organic</v>
      </c>
      <c r="C42" s="8">
        <f t="shared" si="0"/>
        <v>0</v>
      </c>
      <c r="D42" s="130">
        <f t="shared" si="0"/>
        <v>0</v>
      </c>
    </row>
    <row r="43" spans="2:27" x14ac:dyDescent="0.2">
      <c r="B43" s="93" t="str">
        <f>B34</f>
        <v>Twitter Organic</v>
      </c>
      <c r="C43" s="8">
        <f t="shared" si="0"/>
        <v>0</v>
      </c>
      <c r="D43" s="130">
        <f t="shared" si="0"/>
        <v>0</v>
      </c>
    </row>
    <row r="46" spans="2:27" ht="16" x14ac:dyDescent="0.2">
      <c r="B46" s="112" t="s">
        <v>890</v>
      </c>
    </row>
    <row r="47" spans="2:27" ht="7" customHeight="1" x14ac:dyDescent="0.2">
      <c r="B47" s="114"/>
    </row>
    <row r="48" spans="2:27" x14ac:dyDescent="0.2">
      <c r="C48" s="113">
        <v>42766</v>
      </c>
      <c r="D48" s="113">
        <f>EOMONTH(C48,1)</f>
        <v>42794</v>
      </c>
      <c r="E48" s="113">
        <f t="shared" ref="E48:AA48" si="1">EOMONTH(D48,1)</f>
        <v>42825</v>
      </c>
      <c r="F48" s="113">
        <f t="shared" si="1"/>
        <v>42855</v>
      </c>
      <c r="G48" s="113">
        <f t="shared" si="1"/>
        <v>42886</v>
      </c>
      <c r="H48" s="113">
        <f t="shared" si="1"/>
        <v>42916</v>
      </c>
      <c r="I48" s="113">
        <f t="shared" si="1"/>
        <v>42947</v>
      </c>
      <c r="J48" s="113">
        <f>EOMONTH(I48,1)</f>
        <v>42978</v>
      </c>
      <c r="K48" s="113">
        <f t="shared" si="1"/>
        <v>43008</v>
      </c>
      <c r="L48" s="113">
        <f t="shared" si="1"/>
        <v>43039</v>
      </c>
      <c r="M48" s="113">
        <f>EOMONTH(L48,1)</f>
        <v>43069</v>
      </c>
      <c r="N48" s="113">
        <f t="shared" si="1"/>
        <v>43100</v>
      </c>
      <c r="O48" s="113">
        <f t="shared" si="1"/>
        <v>43131</v>
      </c>
      <c r="P48" s="113">
        <f t="shared" si="1"/>
        <v>43159</v>
      </c>
      <c r="Q48" s="113">
        <f t="shared" si="1"/>
        <v>43190</v>
      </c>
      <c r="R48" s="113">
        <f t="shared" si="1"/>
        <v>43220</v>
      </c>
      <c r="S48" s="113">
        <f t="shared" si="1"/>
        <v>43251</v>
      </c>
      <c r="T48" s="113">
        <f t="shared" si="1"/>
        <v>43281</v>
      </c>
      <c r="U48" s="113">
        <f t="shared" si="1"/>
        <v>43312</v>
      </c>
      <c r="V48" s="113">
        <f t="shared" si="1"/>
        <v>43343</v>
      </c>
      <c r="W48" s="113">
        <f t="shared" si="1"/>
        <v>43373</v>
      </c>
      <c r="X48" s="113">
        <f t="shared" si="1"/>
        <v>43404</v>
      </c>
      <c r="Y48" s="113">
        <f t="shared" si="1"/>
        <v>43434</v>
      </c>
      <c r="Z48" s="113">
        <f t="shared" si="1"/>
        <v>43465</v>
      </c>
      <c r="AA48" s="113">
        <f t="shared" si="1"/>
        <v>43496</v>
      </c>
    </row>
    <row r="49" spans="2:27" x14ac:dyDescent="0.2">
      <c r="B49" s="99" t="str">
        <f t="shared" ref="B49:B51" si="2">B32</f>
        <v>Facebook Organic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</row>
    <row r="50" spans="2:27" x14ac:dyDescent="0.2">
      <c r="B50" s="99" t="str">
        <f t="shared" si="2"/>
        <v>LinkedIn Organic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</row>
    <row r="51" spans="2:27" x14ac:dyDescent="0.2">
      <c r="B51" s="99" t="str">
        <f t="shared" si="2"/>
        <v>Twitter Organic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</row>
    <row r="54" spans="2:27" ht="16" x14ac:dyDescent="0.2">
      <c r="B54" s="112" t="s">
        <v>874</v>
      </c>
    </row>
    <row r="55" spans="2:27" ht="7" customHeight="1" x14ac:dyDescent="0.2">
      <c r="B55" s="114"/>
    </row>
    <row r="56" spans="2:27" x14ac:dyDescent="0.2">
      <c r="C56" s="113">
        <f t="shared" ref="C56:AA56" si="3">C48</f>
        <v>42766</v>
      </c>
      <c r="D56" s="113">
        <f t="shared" si="3"/>
        <v>42794</v>
      </c>
      <c r="E56" s="113">
        <f t="shared" si="3"/>
        <v>42825</v>
      </c>
      <c r="F56" s="113">
        <f t="shared" si="3"/>
        <v>42855</v>
      </c>
      <c r="G56" s="113">
        <f t="shared" si="3"/>
        <v>42886</v>
      </c>
      <c r="H56" s="113">
        <f t="shared" si="3"/>
        <v>42916</v>
      </c>
      <c r="I56" s="113">
        <f t="shared" si="3"/>
        <v>42947</v>
      </c>
      <c r="J56" s="113">
        <f t="shared" si="3"/>
        <v>42978</v>
      </c>
      <c r="K56" s="113">
        <f t="shared" si="3"/>
        <v>43008</v>
      </c>
      <c r="L56" s="113">
        <f t="shared" si="3"/>
        <v>43039</v>
      </c>
      <c r="M56" s="113">
        <f t="shared" si="3"/>
        <v>43069</v>
      </c>
      <c r="N56" s="113">
        <f t="shared" si="3"/>
        <v>43100</v>
      </c>
      <c r="O56" s="113">
        <f t="shared" si="3"/>
        <v>43131</v>
      </c>
      <c r="P56" s="113">
        <f t="shared" si="3"/>
        <v>43159</v>
      </c>
      <c r="Q56" s="113">
        <f t="shared" si="3"/>
        <v>43190</v>
      </c>
      <c r="R56" s="113">
        <f t="shared" si="3"/>
        <v>43220</v>
      </c>
      <c r="S56" s="113">
        <f t="shared" si="3"/>
        <v>43251</v>
      </c>
      <c r="T56" s="113">
        <f t="shared" si="3"/>
        <v>43281</v>
      </c>
      <c r="U56" s="113">
        <f t="shared" si="3"/>
        <v>43312</v>
      </c>
      <c r="V56" s="113">
        <f t="shared" si="3"/>
        <v>43343</v>
      </c>
      <c r="W56" s="113">
        <f t="shared" si="3"/>
        <v>43373</v>
      </c>
      <c r="X56" s="113">
        <f t="shared" si="3"/>
        <v>43404</v>
      </c>
      <c r="Y56" s="113">
        <f t="shared" si="3"/>
        <v>43434</v>
      </c>
      <c r="Z56" s="113">
        <f t="shared" si="3"/>
        <v>43465</v>
      </c>
      <c r="AA56" s="113">
        <f t="shared" si="3"/>
        <v>43496</v>
      </c>
    </row>
    <row r="57" spans="2:27" x14ac:dyDescent="0.2">
      <c r="B57" s="108" t="s">
        <v>20</v>
      </c>
    </row>
    <row r="58" spans="2:27" x14ac:dyDescent="0.2">
      <c r="B58" s="99" t="s">
        <v>857</v>
      </c>
      <c r="C58" s="101">
        <v>0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</row>
    <row r="59" spans="2:27" x14ac:dyDescent="0.2">
      <c r="B59" s="99" t="s">
        <v>868</v>
      </c>
      <c r="C59" s="102">
        <v>0</v>
      </c>
      <c r="D59" s="102">
        <v>0</v>
      </c>
      <c r="E59" s="102">
        <v>0</v>
      </c>
      <c r="F59" s="102">
        <v>0</v>
      </c>
      <c r="G59" s="102">
        <v>0</v>
      </c>
      <c r="H59" s="102">
        <v>0</v>
      </c>
      <c r="I59" s="102">
        <v>0</v>
      </c>
      <c r="J59" s="102">
        <v>0</v>
      </c>
      <c r="K59" s="102">
        <v>0</v>
      </c>
      <c r="L59" s="102">
        <v>0</v>
      </c>
      <c r="M59" s="102">
        <v>0</v>
      </c>
      <c r="N59" s="102">
        <v>0</v>
      </c>
      <c r="O59" s="102">
        <v>0</v>
      </c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</row>
    <row r="60" spans="2:27" x14ac:dyDescent="0.2">
      <c r="B60" s="111" t="s">
        <v>870</v>
      </c>
      <c r="C60" s="109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</row>
    <row r="61" spans="2:27" x14ac:dyDescent="0.2">
      <c r="B61" s="116" t="s">
        <v>869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3" spans="2:27" x14ac:dyDescent="0.2">
      <c r="B63" s="108" t="str">
        <f>B38</f>
        <v>Facebook Ad</v>
      </c>
    </row>
    <row r="64" spans="2:27" x14ac:dyDescent="0.2">
      <c r="B64" s="99" t="s">
        <v>857</v>
      </c>
      <c r="C64" s="101">
        <v>0</v>
      </c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</row>
    <row r="65" spans="2:27" x14ac:dyDescent="0.2">
      <c r="B65" s="99" t="s">
        <v>868</v>
      </c>
      <c r="C65" s="102">
        <v>0</v>
      </c>
      <c r="D65" s="102">
        <v>0</v>
      </c>
      <c r="E65" s="102">
        <v>0</v>
      </c>
      <c r="F65" s="102">
        <v>0</v>
      </c>
      <c r="G65" s="102">
        <v>0</v>
      </c>
      <c r="H65" s="102">
        <v>0</v>
      </c>
      <c r="I65" s="102">
        <v>0</v>
      </c>
      <c r="J65" s="102">
        <v>0</v>
      </c>
      <c r="K65" s="102">
        <v>0</v>
      </c>
      <c r="L65" s="102">
        <v>0</v>
      </c>
      <c r="M65" s="102">
        <v>0</v>
      </c>
      <c r="N65" s="102">
        <v>0</v>
      </c>
      <c r="O65" s="102">
        <v>0</v>
      </c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</row>
    <row r="66" spans="2:27" x14ac:dyDescent="0.2">
      <c r="B66" s="111" t="s">
        <v>870</v>
      </c>
      <c r="C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</row>
    <row r="67" spans="2:27" x14ac:dyDescent="0.2">
      <c r="B67" s="116" t="s">
        <v>869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2:27" x14ac:dyDescent="0.2"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</row>
    <row r="69" spans="2:27" x14ac:dyDescent="0.2">
      <c r="B69" s="108" t="str">
        <f>B39</f>
        <v>LinkedIn Ad</v>
      </c>
    </row>
    <row r="70" spans="2:27" x14ac:dyDescent="0.2">
      <c r="B70" s="99" t="s">
        <v>857</v>
      </c>
      <c r="C70" s="101">
        <v>0</v>
      </c>
      <c r="D70" s="91">
        <f t="shared" ref="D70:AA70" si="4">$I26</f>
        <v>0</v>
      </c>
      <c r="E70" s="91">
        <f t="shared" si="4"/>
        <v>0</v>
      </c>
      <c r="F70" s="91">
        <f t="shared" si="4"/>
        <v>0</v>
      </c>
      <c r="G70" s="91">
        <f t="shared" si="4"/>
        <v>0</v>
      </c>
      <c r="H70" s="91">
        <f t="shared" si="4"/>
        <v>0</v>
      </c>
      <c r="I70" s="91">
        <f t="shared" si="4"/>
        <v>0</v>
      </c>
      <c r="J70" s="91">
        <f t="shared" si="4"/>
        <v>0</v>
      </c>
      <c r="K70" s="91">
        <f t="shared" si="4"/>
        <v>0</v>
      </c>
      <c r="L70" s="91">
        <f t="shared" si="4"/>
        <v>0</v>
      </c>
      <c r="M70" s="91">
        <f t="shared" si="4"/>
        <v>0</v>
      </c>
      <c r="N70" s="91">
        <f t="shared" si="4"/>
        <v>0</v>
      </c>
      <c r="O70" s="91">
        <f t="shared" si="4"/>
        <v>0</v>
      </c>
      <c r="P70" s="91">
        <f t="shared" si="4"/>
        <v>0</v>
      </c>
      <c r="Q70" s="91">
        <f t="shared" si="4"/>
        <v>0</v>
      </c>
      <c r="R70" s="91">
        <f t="shared" si="4"/>
        <v>0</v>
      </c>
      <c r="S70" s="91">
        <f t="shared" si="4"/>
        <v>0</v>
      </c>
      <c r="T70" s="91">
        <f t="shared" si="4"/>
        <v>0</v>
      </c>
      <c r="U70" s="91">
        <f t="shared" si="4"/>
        <v>0</v>
      </c>
      <c r="V70" s="91">
        <f t="shared" si="4"/>
        <v>0</v>
      </c>
      <c r="W70" s="91">
        <f t="shared" si="4"/>
        <v>0</v>
      </c>
      <c r="X70" s="91">
        <f t="shared" si="4"/>
        <v>0</v>
      </c>
      <c r="Y70" s="91">
        <f t="shared" si="4"/>
        <v>0</v>
      </c>
      <c r="Z70" s="91">
        <f t="shared" si="4"/>
        <v>0</v>
      </c>
      <c r="AA70" s="91">
        <f t="shared" si="4"/>
        <v>0</v>
      </c>
    </row>
    <row r="71" spans="2:27" x14ac:dyDescent="0.2">
      <c r="B71" s="99" t="s">
        <v>868</v>
      </c>
      <c r="C71" s="102">
        <v>0</v>
      </c>
      <c r="D71" s="102">
        <v>0</v>
      </c>
      <c r="E71" s="102">
        <v>0</v>
      </c>
      <c r="F71" s="102">
        <v>0</v>
      </c>
      <c r="G71" s="102">
        <v>0</v>
      </c>
      <c r="H71" s="102">
        <v>0</v>
      </c>
      <c r="I71" s="102">
        <v>0</v>
      </c>
      <c r="J71" s="102">
        <v>0</v>
      </c>
      <c r="K71" s="102">
        <v>0</v>
      </c>
      <c r="L71" s="102">
        <v>0</v>
      </c>
      <c r="M71" s="102">
        <v>0</v>
      </c>
      <c r="N71" s="102">
        <v>0</v>
      </c>
      <c r="O71" s="102">
        <v>0</v>
      </c>
      <c r="P71" s="54">
        <f>-ROUND((D70*(1-$D$39)),0)</f>
        <v>0</v>
      </c>
      <c r="Q71" s="54">
        <f t="shared" ref="Q71:AA71" si="5">-ROUND((E70*(1-$D$39)),0)</f>
        <v>0</v>
      </c>
      <c r="R71" s="54">
        <f t="shared" si="5"/>
        <v>0</v>
      </c>
      <c r="S71" s="54">
        <f t="shared" si="5"/>
        <v>0</v>
      </c>
      <c r="T71" s="54">
        <f t="shared" si="5"/>
        <v>0</v>
      </c>
      <c r="U71" s="54">
        <f t="shared" si="5"/>
        <v>0</v>
      </c>
      <c r="V71" s="54">
        <f>-ROUND((J70*(1-$D$39)),0)</f>
        <v>0</v>
      </c>
      <c r="W71" s="54">
        <f>-ROUND((K70*(1-$D$39)),0)</f>
        <v>0</v>
      </c>
      <c r="X71" s="54">
        <f>-ROUND((L70*(1-$D$39)),0)</f>
        <v>0</v>
      </c>
      <c r="Y71" s="54">
        <f t="shared" si="5"/>
        <v>0</v>
      </c>
      <c r="Z71" s="54">
        <f t="shared" si="5"/>
        <v>0</v>
      </c>
      <c r="AA71" s="54">
        <f t="shared" si="5"/>
        <v>0</v>
      </c>
    </row>
    <row r="72" spans="2:27" x14ac:dyDescent="0.2">
      <c r="B72" s="111" t="s">
        <v>870</v>
      </c>
      <c r="C72" s="109">
        <f>SUM(C70:C70)</f>
        <v>0</v>
      </c>
      <c r="D72" s="110">
        <f>C72+D70+D71</f>
        <v>0</v>
      </c>
      <c r="E72" s="110">
        <f t="shared" ref="E72" si="6">D72+E70+E71</f>
        <v>0</v>
      </c>
      <c r="F72" s="110">
        <f t="shared" ref="F72" si="7">E72+F70+F71</f>
        <v>0</v>
      </c>
      <c r="G72" s="110">
        <f t="shared" ref="G72" si="8">F72+G70+G71</f>
        <v>0</v>
      </c>
      <c r="H72" s="110">
        <f t="shared" ref="H72" si="9">G72+H70+H71</f>
        <v>0</v>
      </c>
      <c r="I72" s="110">
        <f t="shared" ref="I72" si="10">H72+I70+I71</f>
        <v>0</v>
      </c>
      <c r="J72" s="110">
        <f>I72+J70+J71</f>
        <v>0</v>
      </c>
      <c r="K72" s="110">
        <f t="shared" ref="K72" si="11">J72+K70+K71</f>
        <v>0</v>
      </c>
      <c r="L72" s="110">
        <f t="shared" ref="L72" si="12">K72+L70+L71</f>
        <v>0</v>
      </c>
      <c r="M72" s="110">
        <f>L72+M70+M71</f>
        <v>0</v>
      </c>
      <c r="N72" s="110">
        <f t="shared" ref="N72" si="13">M72+N70+N71</f>
        <v>0</v>
      </c>
      <c r="O72" s="110">
        <f t="shared" ref="O72" si="14">N72+O70+O71</f>
        <v>0</v>
      </c>
      <c r="P72" s="110">
        <f t="shared" ref="P72" si="15">O72+P70+P71</f>
        <v>0</v>
      </c>
      <c r="Q72" s="110">
        <f t="shared" ref="Q72" si="16">P72+Q70+Q71</f>
        <v>0</v>
      </c>
      <c r="R72" s="110">
        <f t="shared" ref="R72" si="17">Q72+R70+R71</f>
        <v>0</v>
      </c>
      <c r="S72" s="110">
        <f t="shared" ref="S72" si="18">R72+S70+S71</f>
        <v>0</v>
      </c>
      <c r="T72" s="110">
        <f t="shared" ref="T72" si="19">S72+T70+T71</f>
        <v>0</v>
      </c>
      <c r="U72" s="110">
        <f t="shared" ref="U72" si="20">T72+U70+U71</f>
        <v>0</v>
      </c>
      <c r="V72" s="110">
        <f t="shared" ref="V72" si="21">U72+V70+V71</f>
        <v>0</v>
      </c>
      <c r="W72" s="110">
        <f t="shared" ref="W72" si="22">V72+W70+W71</f>
        <v>0</v>
      </c>
      <c r="X72" s="110">
        <f t="shared" ref="X72" si="23">W72+X70+X71</f>
        <v>0</v>
      </c>
      <c r="Y72" s="110">
        <f t="shared" ref="Y72" si="24">X72+Y70+Y71</f>
        <v>0</v>
      </c>
      <c r="Z72" s="110">
        <f t="shared" ref="Z72" si="25">Y72+Z70+Z71</f>
        <v>0</v>
      </c>
      <c r="AA72" s="110">
        <f t="shared" ref="AA72" si="26">Z72+AA70+AA71</f>
        <v>0</v>
      </c>
    </row>
    <row r="73" spans="2:27" x14ac:dyDescent="0.2">
      <c r="B73" s="116" t="s">
        <v>869</v>
      </c>
      <c r="C73" s="3">
        <f t="shared" ref="C73:AA73" si="27">C72*($C$39/12)</f>
        <v>0</v>
      </c>
      <c r="D73" s="3">
        <f t="shared" si="27"/>
        <v>0</v>
      </c>
      <c r="E73" s="3">
        <f t="shared" si="27"/>
        <v>0</v>
      </c>
      <c r="F73" s="3">
        <f t="shared" si="27"/>
        <v>0</v>
      </c>
      <c r="G73" s="3">
        <f t="shared" si="27"/>
        <v>0</v>
      </c>
      <c r="H73" s="3">
        <f t="shared" si="27"/>
        <v>0</v>
      </c>
      <c r="I73" s="3">
        <f t="shared" si="27"/>
        <v>0</v>
      </c>
      <c r="J73" s="3">
        <f t="shared" si="27"/>
        <v>0</v>
      </c>
      <c r="K73" s="3">
        <f t="shared" si="27"/>
        <v>0</v>
      </c>
      <c r="L73" s="3">
        <f t="shared" si="27"/>
        <v>0</v>
      </c>
      <c r="M73" s="3">
        <f t="shared" si="27"/>
        <v>0</v>
      </c>
      <c r="N73" s="3">
        <f t="shared" si="27"/>
        <v>0</v>
      </c>
      <c r="O73" s="3">
        <f t="shared" si="27"/>
        <v>0</v>
      </c>
      <c r="P73" s="3">
        <f t="shared" si="27"/>
        <v>0</v>
      </c>
      <c r="Q73" s="3">
        <f t="shared" si="27"/>
        <v>0</v>
      </c>
      <c r="R73" s="3">
        <f t="shared" si="27"/>
        <v>0</v>
      </c>
      <c r="S73" s="3">
        <f t="shared" si="27"/>
        <v>0</v>
      </c>
      <c r="T73" s="3">
        <f t="shared" si="27"/>
        <v>0</v>
      </c>
      <c r="U73" s="3">
        <f t="shared" si="27"/>
        <v>0</v>
      </c>
      <c r="V73" s="3">
        <f t="shared" si="27"/>
        <v>0</v>
      </c>
      <c r="W73" s="3">
        <f t="shared" si="27"/>
        <v>0</v>
      </c>
      <c r="X73" s="3">
        <f t="shared" si="27"/>
        <v>0</v>
      </c>
      <c r="Y73" s="3">
        <f t="shared" si="27"/>
        <v>0</v>
      </c>
      <c r="Z73" s="3">
        <f t="shared" si="27"/>
        <v>0</v>
      </c>
      <c r="AA73" s="3">
        <f t="shared" si="27"/>
        <v>0</v>
      </c>
    </row>
    <row r="74" spans="2:27" x14ac:dyDescent="0.2"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</row>
    <row r="75" spans="2:27" x14ac:dyDescent="0.2">
      <c r="B75" s="108" t="str">
        <f>B40</f>
        <v>Spotify Ad</v>
      </c>
    </row>
    <row r="76" spans="2:27" x14ac:dyDescent="0.2">
      <c r="B76" s="99" t="s">
        <v>857</v>
      </c>
      <c r="C76" s="101">
        <v>0</v>
      </c>
      <c r="D76" s="91">
        <f t="shared" ref="D76:AA76" si="28">$I27</f>
        <v>0</v>
      </c>
      <c r="E76" s="91">
        <f t="shared" si="28"/>
        <v>0</v>
      </c>
      <c r="F76" s="91">
        <f t="shared" si="28"/>
        <v>0</v>
      </c>
      <c r="G76" s="91">
        <f t="shared" si="28"/>
        <v>0</v>
      </c>
      <c r="H76" s="91">
        <f t="shared" si="28"/>
        <v>0</v>
      </c>
      <c r="I76" s="91">
        <f t="shared" si="28"/>
        <v>0</v>
      </c>
      <c r="J76" s="91">
        <f t="shared" si="28"/>
        <v>0</v>
      </c>
      <c r="K76" s="91">
        <f t="shared" si="28"/>
        <v>0</v>
      </c>
      <c r="L76" s="91">
        <f t="shared" si="28"/>
        <v>0</v>
      </c>
      <c r="M76" s="91">
        <f t="shared" si="28"/>
        <v>0</v>
      </c>
      <c r="N76" s="91">
        <f t="shared" si="28"/>
        <v>0</v>
      </c>
      <c r="O76" s="91">
        <f t="shared" si="28"/>
        <v>0</v>
      </c>
      <c r="P76" s="91">
        <f t="shared" si="28"/>
        <v>0</v>
      </c>
      <c r="Q76" s="91">
        <f t="shared" si="28"/>
        <v>0</v>
      </c>
      <c r="R76" s="91">
        <f t="shared" si="28"/>
        <v>0</v>
      </c>
      <c r="S76" s="91">
        <f t="shared" si="28"/>
        <v>0</v>
      </c>
      <c r="T76" s="91">
        <f t="shared" si="28"/>
        <v>0</v>
      </c>
      <c r="U76" s="91">
        <f t="shared" si="28"/>
        <v>0</v>
      </c>
      <c r="V76" s="91">
        <f t="shared" si="28"/>
        <v>0</v>
      </c>
      <c r="W76" s="91">
        <f t="shared" si="28"/>
        <v>0</v>
      </c>
      <c r="X76" s="91">
        <f t="shared" si="28"/>
        <v>0</v>
      </c>
      <c r="Y76" s="91">
        <f t="shared" si="28"/>
        <v>0</v>
      </c>
      <c r="Z76" s="91">
        <f t="shared" si="28"/>
        <v>0</v>
      </c>
      <c r="AA76" s="91">
        <f t="shared" si="28"/>
        <v>0</v>
      </c>
    </row>
    <row r="77" spans="2:27" x14ac:dyDescent="0.2">
      <c r="B77" s="99" t="s">
        <v>868</v>
      </c>
      <c r="C77" s="102">
        <v>0</v>
      </c>
      <c r="D77" s="102">
        <v>0</v>
      </c>
      <c r="E77" s="102">
        <v>0</v>
      </c>
      <c r="F77" s="102">
        <v>0</v>
      </c>
      <c r="G77" s="102">
        <v>0</v>
      </c>
      <c r="H77" s="102">
        <v>0</v>
      </c>
      <c r="I77" s="102">
        <v>0</v>
      </c>
      <c r="J77" s="102">
        <v>0</v>
      </c>
      <c r="K77" s="102">
        <v>0</v>
      </c>
      <c r="L77" s="102">
        <v>0</v>
      </c>
      <c r="M77" s="102">
        <v>0</v>
      </c>
      <c r="N77" s="102">
        <v>0</v>
      </c>
      <c r="O77" s="102">
        <v>0</v>
      </c>
      <c r="P77" s="54">
        <f>-ROUND((D76*(1-$D$40)),0)</f>
        <v>0</v>
      </c>
      <c r="Q77" s="54">
        <f t="shared" ref="Q77:AA77" si="29">-ROUND((E76*(1-$D$40)),0)</f>
        <v>0</v>
      </c>
      <c r="R77" s="54">
        <f t="shared" si="29"/>
        <v>0</v>
      </c>
      <c r="S77" s="54">
        <f t="shared" si="29"/>
        <v>0</v>
      </c>
      <c r="T77" s="54">
        <f t="shared" si="29"/>
        <v>0</v>
      </c>
      <c r="U77" s="54">
        <f t="shared" si="29"/>
        <v>0</v>
      </c>
      <c r="V77" s="54">
        <f>-ROUND((J76*(1-$D$40)),0)</f>
        <v>0</v>
      </c>
      <c r="W77" s="54">
        <f>-ROUND((K76*(1-$D$40)),0)</f>
        <v>0</v>
      </c>
      <c r="X77" s="54">
        <f>-ROUND((L76*(1-$D$40)),0)</f>
        <v>0</v>
      </c>
      <c r="Y77" s="54">
        <f t="shared" si="29"/>
        <v>0</v>
      </c>
      <c r="Z77" s="54">
        <f t="shared" si="29"/>
        <v>0</v>
      </c>
      <c r="AA77" s="54">
        <f t="shared" si="29"/>
        <v>0</v>
      </c>
    </row>
    <row r="78" spans="2:27" x14ac:dyDescent="0.2">
      <c r="B78" s="111" t="s">
        <v>870</v>
      </c>
      <c r="C78" s="109">
        <f>SUM(C76:C76)</f>
        <v>0</v>
      </c>
      <c r="D78" s="110">
        <f>C78+D76+D77</f>
        <v>0</v>
      </c>
      <c r="E78" s="110">
        <f t="shared" ref="E78" si="30">D78+E76+E77</f>
        <v>0</v>
      </c>
      <c r="F78" s="110">
        <f t="shared" ref="F78" si="31">E78+F76+F77</f>
        <v>0</v>
      </c>
      <c r="G78" s="110">
        <f t="shared" ref="G78" si="32">F78+G76+G77</f>
        <v>0</v>
      </c>
      <c r="H78" s="110">
        <f t="shared" ref="H78" si="33">G78+H76+H77</f>
        <v>0</v>
      </c>
      <c r="I78" s="110">
        <f t="shared" ref="I78" si="34">H78+I76+I77</f>
        <v>0</v>
      </c>
      <c r="J78" s="110">
        <f>I78+J76+J77</f>
        <v>0</v>
      </c>
      <c r="K78" s="110">
        <f t="shared" ref="K78" si="35">J78+K76+K77</f>
        <v>0</v>
      </c>
      <c r="L78" s="110">
        <f t="shared" ref="L78" si="36">K78+L76+L77</f>
        <v>0</v>
      </c>
      <c r="M78" s="110">
        <f>L78+M76+M77</f>
        <v>0</v>
      </c>
      <c r="N78" s="110">
        <f t="shared" ref="N78" si="37">M78+N76+N77</f>
        <v>0</v>
      </c>
      <c r="O78" s="110">
        <f t="shared" ref="O78" si="38">N78+O76+O77</f>
        <v>0</v>
      </c>
      <c r="P78" s="110">
        <f t="shared" ref="P78" si="39">O78+P76+P77</f>
        <v>0</v>
      </c>
      <c r="Q78" s="110">
        <f t="shared" ref="Q78" si="40">P78+Q76+Q77</f>
        <v>0</v>
      </c>
      <c r="R78" s="110">
        <f t="shared" ref="R78" si="41">Q78+R76+R77</f>
        <v>0</v>
      </c>
      <c r="S78" s="110">
        <f t="shared" ref="S78" si="42">R78+S76+S77</f>
        <v>0</v>
      </c>
      <c r="T78" s="110">
        <f t="shared" ref="T78" si="43">S78+T76+T77</f>
        <v>0</v>
      </c>
      <c r="U78" s="110">
        <f t="shared" ref="U78" si="44">T78+U76+U77</f>
        <v>0</v>
      </c>
      <c r="V78" s="110">
        <f t="shared" ref="V78" si="45">U78+V76+V77</f>
        <v>0</v>
      </c>
      <c r="W78" s="110">
        <f t="shared" ref="W78" si="46">V78+W76+W77</f>
        <v>0</v>
      </c>
      <c r="X78" s="110">
        <f t="shared" ref="X78" si="47">W78+X76+X77</f>
        <v>0</v>
      </c>
      <c r="Y78" s="110">
        <f t="shared" ref="Y78" si="48">X78+Y76+Y77</f>
        <v>0</v>
      </c>
      <c r="Z78" s="110">
        <f t="shared" ref="Z78" si="49">Y78+Z76+Z77</f>
        <v>0</v>
      </c>
      <c r="AA78" s="110">
        <f t="shared" ref="AA78" si="50">Z78+AA76+AA77</f>
        <v>0</v>
      </c>
    </row>
    <row r="79" spans="2:27" x14ac:dyDescent="0.2">
      <c r="B79" s="116" t="s">
        <v>869</v>
      </c>
      <c r="C79" s="3">
        <f t="shared" ref="C79:AA79" si="51">C78*($C$40/12)</f>
        <v>0</v>
      </c>
      <c r="D79" s="3">
        <f t="shared" si="51"/>
        <v>0</v>
      </c>
      <c r="E79" s="3">
        <f t="shared" si="51"/>
        <v>0</v>
      </c>
      <c r="F79" s="3">
        <f t="shared" si="51"/>
        <v>0</v>
      </c>
      <c r="G79" s="3">
        <f t="shared" si="51"/>
        <v>0</v>
      </c>
      <c r="H79" s="3">
        <f t="shared" si="51"/>
        <v>0</v>
      </c>
      <c r="I79" s="3">
        <f t="shared" si="51"/>
        <v>0</v>
      </c>
      <c r="J79" s="3">
        <f t="shared" si="51"/>
        <v>0</v>
      </c>
      <c r="K79" s="3">
        <f t="shared" si="51"/>
        <v>0</v>
      </c>
      <c r="L79" s="3">
        <f t="shared" si="51"/>
        <v>0</v>
      </c>
      <c r="M79" s="3">
        <f t="shared" si="51"/>
        <v>0</v>
      </c>
      <c r="N79" s="3">
        <f t="shared" si="51"/>
        <v>0</v>
      </c>
      <c r="O79" s="3">
        <f t="shared" si="51"/>
        <v>0</v>
      </c>
      <c r="P79" s="3">
        <f t="shared" si="51"/>
        <v>0</v>
      </c>
      <c r="Q79" s="3">
        <f t="shared" si="51"/>
        <v>0</v>
      </c>
      <c r="R79" s="3">
        <f t="shared" si="51"/>
        <v>0</v>
      </c>
      <c r="S79" s="3">
        <f t="shared" si="51"/>
        <v>0</v>
      </c>
      <c r="T79" s="3">
        <f t="shared" si="51"/>
        <v>0</v>
      </c>
      <c r="U79" s="3">
        <f t="shared" si="51"/>
        <v>0</v>
      </c>
      <c r="V79" s="3">
        <f t="shared" si="51"/>
        <v>0</v>
      </c>
      <c r="W79" s="3">
        <f t="shared" si="51"/>
        <v>0</v>
      </c>
      <c r="X79" s="3">
        <f t="shared" si="51"/>
        <v>0</v>
      </c>
      <c r="Y79" s="3">
        <f t="shared" si="51"/>
        <v>0</v>
      </c>
      <c r="Z79" s="3">
        <f t="shared" si="51"/>
        <v>0</v>
      </c>
      <c r="AA79" s="3">
        <f t="shared" si="51"/>
        <v>0</v>
      </c>
    </row>
    <row r="80" spans="2:27" x14ac:dyDescent="0.2"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</row>
    <row r="81" spans="2:27" x14ac:dyDescent="0.2">
      <c r="B81" s="108" t="str">
        <f>B41</f>
        <v>Facebook Organic</v>
      </c>
    </row>
    <row r="82" spans="2:27" x14ac:dyDescent="0.2">
      <c r="B82" s="99" t="s">
        <v>857</v>
      </c>
      <c r="C82" s="101">
        <v>0</v>
      </c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</row>
    <row r="83" spans="2:27" x14ac:dyDescent="0.2">
      <c r="B83" s="99" t="s">
        <v>868</v>
      </c>
      <c r="C83" s="102">
        <v>0</v>
      </c>
      <c r="D83" s="102">
        <v>0</v>
      </c>
      <c r="E83" s="102">
        <v>0</v>
      </c>
      <c r="F83" s="102">
        <v>0</v>
      </c>
      <c r="G83" s="102">
        <v>0</v>
      </c>
      <c r="H83" s="102">
        <v>0</v>
      </c>
      <c r="I83" s="102">
        <v>0</v>
      </c>
      <c r="J83" s="102">
        <v>0</v>
      </c>
      <c r="K83" s="102">
        <v>0</v>
      </c>
      <c r="L83" s="102">
        <v>0</v>
      </c>
      <c r="M83" s="102">
        <v>0</v>
      </c>
      <c r="N83" s="102">
        <v>0</v>
      </c>
      <c r="O83" s="102">
        <v>0</v>
      </c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</row>
    <row r="84" spans="2:27" x14ac:dyDescent="0.2">
      <c r="B84" s="111" t="s">
        <v>870</v>
      </c>
      <c r="C84" s="109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</row>
    <row r="85" spans="2:27" x14ac:dyDescent="0.2">
      <c r="B85" s="116" t="s">
        <v>869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2:27" x14ac:dyDescent="0.2">
      <c r="C86" s="21"/>
    </row>
    <row r="87" spans="2:27" x14ac:dyDescent="0.2">
      <c r="B87" s="108" t="str">
        <f>B42</f>
        <v>LinkedIn Organic</v>
      </c>
    </row>
    <row r="88" spans="2:27" x14ac:dyDescent="0.2">
      <c r="B88" s="99" t="s">
        <v>857</v>
      </c>
      <c r="C88" s="101">
        <v>0</v>
      </c>
      <c r="D88" s="91">
        <f t="shared" ref="D88:AA88" si="52">ROUND((D50-C50)*$G33,0)</f>
        <v>0</v>
      </c>
      <c r="E88" s="91">
        <f t="shared" si="52"/>
        <v>0</v>
      </c>
      <c r="F88" s="91">
        <f t="shared" si="52"/>
        <v>0</v>
      </c>
      <c r="G88" s="91">
        <f t="shared" si="52"/>
        <v>0</v>
      </c>
      <c r="H88" s="91">
        <f t="shared" si="52"/>
        <v>0</v>
      </c>
      <c r="I88" s="91">
        <f t="shared" si="52"/>
        <v>0</v>
      </c>
      <c r="J88" s="91">
        <f t="shared" si="52"/>
        <v>0</v>
      </c>
      <c r="K88" s="91">
        <f t="shared" si="52"/>
        <v>0</v>
      </c>
      <c r="L88" s="91">
        <f t="shared" si="52"/>
        <v>0</v>
      </c>
      <c r="M88" s="91">
        <f t="shared" si="52"/>
        <v>0</v>
      </c>
      <c r="N88" s="91">
        <f t="shared" si="52"/>
        <v>0</v>
      </c>
      <c r="O88" s="91">
        <f t="shared" si="52"/>
        <v>0</v>
      </c>
      <c r="P88" s="91">
        <f t="shared" si="52"/>
        <v>0</v>
      </c>
      <c r="Q88" s="91">
        <f t="shared" si="52"/>
        <v>0</v>
      </c>
      <c r="R88" s="91">
        <f t="shared" si="52"/>
        <v>0</v>
      </c>
      <c r="S88" s="91">
        <f t="shared" si="52"/>
        <v>0</v>
      </c>
      <c r="T88" s="91">
        <f t="shared" si="52"/>
        <v>0</v>
      </c>
      <c r="U88" s="91">
        <f t="shared" si="52"/>
        <v>0</v>
      </c>
      <c r="V88" s="91">
        <f t="shared" si="52"/>
        <v>0</v>
      </c>
      <c r="W88" s="91">
        <f t="shared" si="52"/>
        <v>0</v>
      </c>
      <c r="X88" s="91">
        <f t="shared" si="52"/>
        <v>0</v>
      </c>
      <c r="Y88" s="91">
        <f t="shared" si="52"/>
        <v>0</v>
      </c>
      <c r="Z88" s="91">
        <f t="shared" si="52"/>
        <v>0</v>
      </c>
      <c r="AA88" s="91">
        <f t="shared" si="52"/>
        <v>0</v>
      </c>
    </row>
    <row r="89" spans="2:27" x14ac:dyDescent="0.2">
      <c r="B89" s="99" t="s">
        <v>868</v>
      </c>
      <c r="C89" s="102">
        <v>0</v>
      </c>
      <c r="D89" s="102">
        <v>0</v>
      </c>
      <c r="E89" s="102">
        <v>0</v>
      </c>
      <c r="F89" s="102">
        <v>0</v>
      </c>
      <c r="G89" s="102">
        <v>0</v>
      </c>
      <c r="H89" s="102">
        <v>0</v>
      </c>
      <c r="I89" s="102">
        <v>0</v>
      </c>
      <c r="J89" s="102">
        <v>0</v>
      </c>
      <c r="K89" s="102">
        <v>0</v>
      </c>
      <c r="L89" s="102">
        <v>0</v>
      </c>
      <c r="M89" s="102">
        <v>0</v>
      </c>
      <c r="N89" s="102">
        <v>0</v>
      </c>
      <c r="O89" s="102">
        <v>0</v>
      </c>
      <c r="P89" s="54">
        <f>-ROUND((D88*(1-$D$42)),0)</f>
        <v>0</v>
      </c>
      <c r="Q89" s="54">
        <f t="shared" ref="Q89:AA89" si="53">-ROUND((E88*(1-$D$42)),0)</f>
        <v>0</v>
      </c>
      <c r="R89" s="54">
        <f t="shared" si="53"/>
        <v>0</v>
      </c>
      <c r="S89" s="54">
        <f t="shared" si="53"/>
        <v>0</v>
      </c>
      <c r="T89" s="54">
        <f t="shared" si="53"/>
        <v>0</v>
      </c>
      <c r="U89" s="54">
        <f t="shared" si="53"/>
        <v>0</v>
      </c>
      <c r="V89" s="54">
        <f>-ROUND((J88*(1-$D$42)),0)</f>
        <v>0</v>
      </c>
      <c r="W89" s="54">
        <f>-ROUND((K88*(1-$D$42)),0)</f>
        <v>0</v>
      </c>
      <c r="X89" s="54">
        <f>-ROUND((L88*(1-$D$42)),0)</f>
        <v>0</v>
      </c>
      <c r="Y89" s="54">
        <f t="shared" si="53"/>
        <v>0</v>
      </c>
      <c r="Z89" s="54">
        <f t="shared" si="53"/>
        <v>0</v>
      </c>
      <c r="AA89" s="54">
        <f t="shared" si="53"/>
        <v>0</v>
      </c>
    </row>
    <row r="90" spans="2:27" x14ac:dyDescent="0.2">
      <c r="B90" s="111" t="s">
        <v>870</v>
      </c>
      <c r="C90" s="109">
        <f>SUM(C88:C88)</f>
        <v>0</v>
      </c>
      <c r="D90" s="110">
        <f>C90+D88+D89</f>
        <v>0</v>
      </c>
      <c r="E90" s="110">
        <f t="shared" ref="E90" si="54">D90+E88+E89</f>
        <v>0</v>
      </c>
      <c r="F90" s="110">
        <f t="shared" ref="F90" si="55">E90+F88+F89</f>
        <v>0</v>
      </c>
      <c r="G90" s="110">
        <f t="shared" ref="G90" si="56">F90+G88+G89</f>
        <v>0</v>
      </c>
      <c r="H90" s="110">
        <f t="shared" ref="H90" si="57">G90+H88+H89</f>
        <v>0</v>
      </c>
      <c r="I90" s="110">
        <f t="shared" ref="I90" si="58">H90+I88+I89</f>
        <v>0</v>
      </c>
      <c r="J90" s="110">
        <f>I90+J88+J89</f>
        <v>0</v>
      </c>
      <c r="K90" s="110">
        <f t="shared" ref="K90" si="59">J90+K88+K89</f>
        <v>0</v>
      </c>
      <c r="L90" s="110">
        <f t="shared" ref="L90" si="60">K90+L88+L89</f>
        <v>0</v>
      </c>
      <c r="M90" s="110">
        <f>L90+M88+M89</f>
        <v>0</v>
      </c>
      <c r="N90" s="110">
        <f t="shared" ref="N90" si="61">M90+N88+N89</f>
        <v>0</v>
      </c>
      <c r="O90" s="110">
        <f t="shared" ref="O90" si="62">N90+O88+O89</f>
        <v>0</v>
      </c>
      <c r="P90" s="110">
        <f t="shared" ref="P90" si="63">O90+P88+P89</f>
        <v>0</v>
      </c>
      <c r="Q90" s="110">
        <f t="shared" ref="Q90" si="64">P90+Q88+Q89</f>
        <v>0</v>
      </c>
      <c r="R90" s="110">
        <f t="shared" ref="R90" si="65">Q90+R88+R89</f>
        <v>0</v>
      </c>
      <c r="S90" s="110">
        <f t="shared" ref="S90" si="66">R90+S88+S89</f>
        <v>0</v>
      </c>
      <c r="T90" s="110">
        <f t="shared" ref="T90" si="67">S90+T88+T89</f>
        <v>0</v>
      </c>
      <c r="U90" s="110">
        <f t="shared" ref="U90" si="68">T90+U88+U89</f>
        <v>0</v>
      </c>
      <c r="V90" s="110">
        <f t="shared" ref="V90" si="69">U90+V88+V89</f>
        <v>0</v>
      </c>
      <c r="W90" s="110">
        <f t="shared" ref="W90" si="70">V90+W88+W89</f>
        <v>0</v>
      </c>
      <c r="X90" s="110">
        <f t="shared" ref="X90" si="71">W90+X88+X89</f>
        <v>0</v>
      </c>
      <c r="Y90" s="110">
        <f t="shared" ref="Y90" si="72">X90+Y88+Y89</f>
        <v>0</v>
      </c>
      <c r="Z90" s="110">
        <f t="shared" ref="Z90" si="73">Y90+Z88+Z89</f>
        <v>0</v>
      </c>
      <c r="AA90" s="110">
        <f t="shared" ref="AA90" si="74">Z90+AA88+AA89</f>
        <v>0</v>
      </c>
    </row>
    <row r="91" spans="2:27" x14ac:dyDescent="0.2">
      <c r="B91" s="116" t="s">
        <v>869</v>
      </c>
      <c r="C91" s="3">
        <f>C90*($C$42/12)</f>
        <v>0</v>
      </c>
      <c r="D91" s="3">
        <f t="shared" ref="D91:AA91" si="75">D90*($C$42/12)</f>
        <v>0</v>
      </c>
      <c r="E91" s="3">
        <f t="shared" si="75"/>
        <v>0</v>
      </c>
      <c r="F91" s="3">
        <f t="shared" si="75"/>
        <v>0</v>
      </c>
      <c r="G91" s="3">
        <f t="shared" si="75"/>
        <v>0</v>
      </c>
      <c r="H91" s="3">
        <f t="shared" si="75"/>
        <v>0</v>
      </c>
      <c r="I91" s="3">
        <f t="shared" si="75"/>
        <v>0</v>
      </c>
      <c r="J91" s="3">
        <f t="shared" si="75"/>
        <v>0</v>
      </c>
      <c r="K91" s="3">
        <f t="shared" si="75"/>
        <v>0</v>
      </c>
      <c r="L91" s="3">
        <f t="shared" si="75"/>
        <v>0</v>
      </c>
      <c r="M91" s="3">
        <f t="shared" si="75"/>
        <v>0</v>
      </c>
      <c r="N91" s="3">
        <f t="shared" si="75"/>
        <v>0</v>
      </c>
      <c r="O91" s="3">
        <f t="shared" si="75"/>
        <v>0</v>
      </c>
      <c r="P91" s="3">
        <f t="shared" si="75"/>
        <v>0</v>
      </c>
      <c r="Q91" s="3">
        <f t="shared" si="75"/>
        <v>0</v>
      </c>
      <c r="R91" s="3">
        <f t="shared" si="75"/>
        <v>0</v>
      </c>
      <c r="S91" s="3">
        <f t="shared" si="75"/>
        <v>0</v>
      </c>
      <c r="T91" s="3">
        <f t="shared" si="75"/>
        <v>0</v>
      </c>
      <c r="U91" s="3">
        <f t="shared" si="75"/>
        <v>0</v>
      </c>
      <c r="V91" s="3">
        <f t="shared" si="75"/>
        <v>0</v>
      </c>
      <c r="W91" s="3">
        <f t="shared" si="75"/>
        <v>0</v>
      </c>
      <c r="X91" s="3">
        <f t="shared" si="75"/>
        <v>0</v>
      </c>
      <c r="Y91" s="3">
        <f t="shared" si="75"/>
        <v>0</v>
      </c>
      <c r="Z91" s="3">
        <f t="shared" si="75"/>
        <v>0</v>
      </c>
      <c r="AA91" s="3">
        <f t="shared" si="75"/>
        <v>0</v>
      </c>
    </row>
    <row r="92" spans="2:27" x14ac:dyDescent="0.2">
      <c r="C92" s="21"/>
    </row>
    <row r="93" spans="2:27" x14ac:dyDescent="0.2">
      <c r="B93" s="108" t="str">
        <f>B43</f>
        <v>Twitter Organic</v>
      </c>
    </row>
    <row r="94" spans="2:27" x14ac:dyDescent="0.2">
      <c r="B94" s="99" t="s">
        <v>857</v>
      </c>
      <c r="C94" s="101">
        <v>0</v>
      </c>
      <c r="D94" s="91">
        <f t="shared" ref="D94:AA94" si="76">ROUND((D51-C51)*$G34,0)</f>
        <v>0</v>
      </c>
      <c r="E94" s="91">
        <f t="shared" si="76"/>
        <v>0</v>
      </c>
      <c r="F94" s="91">
        <f t="shared" si="76"/>
        <v>0</v>
      </c>
      <c r="G94" s="91">
        <f t="shared" si="76"/>
        <v>0</v>
      </c>
      <c r="H94" s="91">
        <f t="shared" si="76"/>
        <v>0</v>
      </c>
      <c r="I94" s="91">
        <f t="shared" si="76"/>
        <v>0</v>
      </c>
      <c r="J94" s="91">
        <f t="shared" si="76"/>
        <v>0</v>
      </c>
      <c r="K94" s="91">
        <f t="shared" si="76"/>
        <v>0</v>
      </c>
      <c r="L94" s="91">
        <f t="shared" si="76"/>
        <v>0</v>
      </c>
      <c r="M94" s="91">
        <f t="shared" si="76"/>
        <v>0</v>
      </c>
      <c r="N94" s="91">
        <f t="shared" si="76"/>
        <v>0</v>
      </c>
      <c r="O94" s="91">
        <f t="shared" si="76"/>
        <v>0</v>
      </c>
      <c r="P94" s="91">
        <f t="shared" si="76"/>
        <v>0</v>
      </c>
      <c r="Q94" s="91">
        <f t="shared" si="76"/>
        <v>0</v>
      </c>
      <c r="R94" s="91">
        <f t="shared" si="76"/>
        <v>0</v>
      </c>
      <c r="S94" s="91">
        <f t="shared" si="76"/>
        <v>0</v>
      </c>
      <c r="T94" s="91">
        <f t="shared" si="76"/>
        <v>0</v>
      </c>
      <c r="U94" s="91">
        <f t="shared" si="76"/>
        <v>0</v>
      </c>
      <c r="V94" s="91">
        <f t="shared" si="76"/>
        <v>0</v>
      </c>
      <c r="W94" s="91">
        <f t="shared" si="76"/>
        <v>0</v>
      </c>
      <c r="X94" s="91">
        <f t="shared" si="76"/>
        <v>0</v>
      </c>
      <c r="Y94" s="91">
        <f t="shared" si="76"/>
        <v>0</v>
      </c>
      <c r="Z94" s="91">
        <f t="shared" si="76"/>
        <v>0</v>
      </c>
      <c r="AA94" s="91">
        <f t="shared" si="76"/>
        <v>0</v>
      </c>
    </row>
    <row r="95" spans="2:27" x14ac:dyDescent="0.2">
      <c r="B95" s="99" t="s">
        <v>868</v>
      </c>
      <c r="C95" s="102">
        <v>0</v>
      </c>
      <c r="D95" s="102">
        <v>0</v>
      </c>
      <c r="E95" s="102">
        <v>0</v>
      </c>
      <c r="F95" s="102">
        <v>0</v>
      </c>
      <c r="G95" s="102">
        <v>0</v>
      </c>
      <c r="H95" s="102">
        <v>0</v>
      </c>
      <c r="I95" s="102">
        <v>0</v>
      </c>
      <c r="J95" s="102">
        <v>0</v>
      </c>
      <c r="K95" s="102">
        <v>0</v>
      </c>
      <c r="L95" s="102">
        <v>0</v>
      </c>
      <c r="M95" s="102">
        <v>0</v>
      </c>
      <c r="N95" s="102">
        <v>0</v>
      </c>
      <c r="O95" s="102">
        <v>0</v>
      </c>
      <c r="P95" s="54">
        <f>-ROUND((D94*(1-$D$43)),0)</f>
        <v>0</v>
      </c>
      <c r="Q95" s="54">
        <f t="shared" ref="Q95:AA95" si="77">-ROUND((E94*(1-$D$43)),0)</f>
        <v>0</v>
      </c>
      <c r="R95" s="54">
        <f t="shared" si="77"/>
        <v>0</v>
      </c>
      <c r="S95" s="54">
        <f t="shared" si="77"/>
        <v>0</v>
      </c>
      <c r="T95" s="54">
        <f t="shared" si="77"/>
        <v>0</v>
      </c>
      <c r="U95" s="54">
        <f t="shared" si="77"/>
        <v>0</v>
      </c>
      <c r="V95" s="54">
        <f>-ROUND((J94*(1-$D$43)),0)</f>
        <v>0</v>
      </c>
      <c r="W95" s="54">
        <f>-ROUND((K94*(1-$D$43)),0)</f>
        <v>0</v>
      </c>
      <c r="X95" s="54">
        <f>-ROUND((L94*(1-$D$43)),0)</f>
        <v>0</v>
      </c>
      <c r="Y95" s="54">
        <f t="shared" si="77"/>
        <v>0</v>
      </c>
      <c r="Z95" s="54">
        <f t="shared" si="77"/>
        <v>0</v>
      </c>
      <c r="AA95" s="54">
        <f t="shared" si="77"/>
        <v>0</v>
      </c>
    </row>
    <row r="96" spans="2:27" x14ac:dyDescent="0.2">
      <c r="B96" s="111" t="s">
        <v>870</v>
      </c>
      <c r="C96" s="109">
        <f>SUM(C94:C94)</f>
        <v>0</v>
      </c>
      <c r="D96" s="110">
        <f>C96+D94+D95</f>
        <v>0</v>
      </c>
      <c r="E96" s="110">
        <f t="shared" ref="E96" si="78">D96+E94+E95</f>
        <v>0</v>
      </c>
      <c r="F96" s="110">
        <f t="shared" ref="F96" si="79">E96+F94+F95</f>
        <v>0</v>
      </c>
      <c r="G96" s="110">
        <f t="shared" ref="G96" si="80">F96+G94+G95</f>
        <v>0</v>
      </c>
      <c r="H96" s="110">
        <f t="shared" ref="H96" si="81">G96+H94+H95</f>
        <v>0</v>
      </c>
      <c r="I96" s="110">
        <f t="shared" ref="I96" si="82">H96+I94+I95</f>
        <v>0</v>
      </c>
      <c r="J96" s="110">
        <f>I96+J94+J95</f>
        <v>0</v>
      </c>
      <c r="K96" s="110">
        <f t="shared" ref="K96" si="83">J96+K94+K95</f>
        <v>0</v>
      </c>
      <c r="L96" s="110">
        <f t="shared" ref="L96" si="84">K96+L94+L95</f>
        <v>0</v>
      </c>
      <c r="M96" s="110">
        <f>L96+M94+M95</f>
        <v>0</v>
      </c>
      <c r="N96" s="110">
        <f t="shared" ref="N96" si="85">M96+N94+N95</f>
        <v>0</v>
      </c>
      <c r="O96" s="110">
        <f t="shared" ref="O96" si="86">N96+O94+O95</f>
        <v>0</v>
      </c>
      <c r="P96" s="110">
        <f t="shared" ref="P96" si="87">O96+P94+P95</f>
        <v>0</v>
      </c>
      <c r="Q96" s="110">
        <f t="shared" ref="Q96" si="88">P96+Q94+Q95</f>
        <v>0</v>
      </c>
      <c r="R96" s="110">
        <f t="shared" ref="R96" si="89">Q96+R94+R95</f>
        <v>0</v>
      </c>
      <c r="S96" s="110">
        <f t="shared" ref="S96" si="90">R96+S94+S95</f>
        <v>0</v>
      </c>
      <c r="T96" s="110">
        <f t="shared" ref="T96" si="91">S96+T94+T95</f>
        <v>0</v>
      </c>
      <c r="U96" s="110">
        <f t="shared" ref="U96" si="92">T96+U94+U95</f>
        <v>0</v>
      </c>
      <c r="V96" s="110">
        <f t="shared" ref="V96" si="93">U96+V94+V95</f>
        <v>0</v>
      </c>
      <c r="W96" s="110">
        <f t="shared" ref="W96" si="94">V96+W94+W95</f>
        <v>0</v>
      </c>
      <c r="X96" s="110">
        <f t="shared" ref="X96" si="95">W96+X94+X95</f>
        <v>0</v>
      </c>
      <c r="Y96" s="110">
        <f t="shared" ref="Y96" si="96">X96+Y94+Y95</f>
        <v>0</v>
      </c>
      <c r="Z96" s="110">
        <f t="shared" ref="Z96" si="97">Y96+Z94+Z95</f>
        <v>0</v>
      </c>
      <c r="AA96" s="110">
        <f t="shared" ref="AA96" si="98">Z96+AA94+AA95</f>
        <v>0</v>
      </c>
    </row>
    <row r="97" spans="2:27" x14ac:dyDescent="0.2">
      <c r="B97" s="116" t="s">
        <v>869</v>
      </c>
      <c r="C97" s="3">
        <f>C96*($C$43/12)</f>
        <v>0</v>
      </c>
      <c r="D97" s="3">
        <f t="shared" ref="D97:AA97" si="99">D96*($C$43/12)</f>
        <v>0</v>
      </c>
      <c r="E97" s="3">
        <f t="shared" si="99"/>
        <v>0</v>
      </c>
      <c r="F97" s="3">
        <f t="shared" si="99"/>
        <v>0</v>
      </c>
      <c r="G97" s="3">
        <f t="shared" si="99"/>
        <v>0</v>
      </c>
      <c r="H97" s="3">
        <f t="shared" si="99"/>
        <v>0</v>
      </c>
      <c r="I97" s="3">
        <f t="shared" si="99"/>
        <v>0</v>
      </c>
      <c r="J97" s="3">
        <f t="shared" si="99"/>
        <v>0</v>
      </c>
      <c r="K97" s="3">
        <f t="shared" si="99"/>
        <v>0</v>
      </c>
      <c r="L97" s="3">
        <f t="shared" si="99"/>
        <v>0</v>
      </c>
      <c r="M97" s="3">
        <f t="shared" si="99"/>
        <v>0</v>
      </c>
      <c r="N97" s="3">
        <f t="shared" si="99"/>
        <v>0</v>
      </c>
      <c r="O97" s="3">
        <f t="shared" si="99"/>
        <v>0</v>
      </c>
      <c r="P97" s="3">
        <f t="shared" si="99"/>
        <v>0</v>
      </c>
      <c r="Q97" s="3">
        <f t="shared" si="99"/>
        <v>0</v>
      </c>
      <c r="R97" s="3">
        <f t="shared" si="99"/>
        <v>0</v>
      </c>
      <c r="S97" s="3">
        <f t="shared" si="99"/>
        <v>0</v>
      </c>
      <c r="T97" s="3">
        <f t="shared" si="99"/>
        <v>0</v>
      </c>
      <c r="U97" s="3">
        <f t="shared" si="99"/>
        <v>0</v>
      </c>
      <c r="V97" s="3">
        <f t="shared" si="99"/>
        <v>0</v>
      </c>
      <c r="W97" s="3">
        <f t="shared" si="99"/>
        <v>0</v>
      </c>
      <c r="X97" s="3">
        <f t="shared" si="99"/>
        <v>0</v>
      </c>
      <c r="Y97" s="3">
        <f t="shared" si="99"/>
        <v>0</v>
      </c>
      <c r="Z97" s="3">
        <f t="shared" si="99"/>
        <v>0</v>
      </c>
      <c r="AA97" s="3">
        <f t="shared" si="99"/>
        <v>0</v>
      </c>
    </row>
    <row r="99" spans="2:27" x14ac:dyDescent="0.2">
      <c r="B99" s="83" t="s">
        <v>865</v>
      </c>
      <c r="C99" s="84">
        <f>C61+C67+C73+C79+C85+C91+C97</f>
        <v>0</v>
      </c>
      <c r="D99" s="84">
        <f t="shared" ref="D99:AA99" si="100">D61+D67+D73+D79+D85+D91+D97</f>
        <v>0</v>
      </c>
      <c r="E99" s="84">
        <f t="shared" si="100"/>
        <v>0</v>
      </c>
      <c r="F99" s="84">
        <f t="shared" si="100"/>
        <v>0</v>
      </c>
      <c r="G99" s="84">
        <f t="shared" si="100"/>
        <v>0</v>
      </c>
      <c r="H99" s="84">
        <f t="shared" si="100"/>
        <v>0</v>
      </c>
      <c r="I99" s="84">
        <f t="shared" si="100"/>
        <v>0</v>
      </c>
      <c r="J99" s="84">
        <f t="shared" si="100"/>
        <v>0</v>
      </c>
      <c r="K99" s="84">
        <f t="shared" si="100"/>
        <v>0</v>
      </c>
      <c r="L99" s="84">
        <f t="shared" si="100"/>
        <v>0</v>
      </c>
      <c r="M99" s="84">
        <f t="shared" si="100"/>
        <v>0</v>
      </c>
      <c r="N99" s="84">
        <f t="shared" si="100"/>
        <v>0</v>
      </c>
      <c r="O99" s="84">
        <f t="shared" si="100"/>
        <v>0</v>
      </c>
      <c r="P99" s="84">
        <f t="shared" si="100"/>
        <v>0</v>
      </c>
      <c r="Q99" s="84">
        <f t="shared" si="100"/>
        <v>0</v>
      </c>
      <c r="R99" s="84">
        <f t="shared" si="100"/>
        <v>0</v>
      </c>
      <c r="S99" s="84">
        <f t="shared" si="100"/>
        <v>0</v>
      </c>
      <c r="T99" s="84">
        <f t="shared" si="100"/>
        <v>0</v>
      </c>
      <c r="U99" s="84">
        <f t="shared" si="100"/>
        <v>0</v>
      </c>
      <c r="V99" s="84">
        <f t="shared" si="100"/>
        <v>0</v>
      </c>
      <c r="W99" s="84">
        <f t="shared" si="100"/>
        <v>0</v>
      </c>
      <c r="X99" s="84">
        <f t="shared" si="100"/>
        <v>0</v>
      </c>
      <c r="Y99" s="84">
        <f t="shared" si="100"/>
        <v>0</v>
      </c>
      <c r="Z99" s="84">
        <f t="shared" si="100"/>
        <v>0</v>
      </c>
      <c r="AA99" s="84">
        <f t="shared" si="100"/>
        <v>0</v>
      </c>
    </row>
    <row r="100" spans="2:27" x14ac:dyDescent="0.2">
      <c r="B100" s="89" t="s">
        <v>867</v>
      </c>
      <c r="C100" s="115">
        <f>SUM($C$99:C99)</f>
        <v>0</v>
      </c>
      <c r="D100" s="115">
        <f>SUM($C$99:D99)</f>
        <v>0</v>
      </c>
      <c r="E100" s="115">
        <f>SUM($C$99:E99)</f>
        <v>0</v>
      </c>
      <c r="F100" s="115">
        <f>SUM($C$99:F99)</f>
        <v>0</v>
      </c>
      <c r="G100" s="115">
        <f>SUM($C$99:G99)</f>
        <v>0</v>
      </c>
      <c r="H100" s="115">
        <f>SUM($C$99:H99)</f>
        <v>0</v>
      </c>
      <c r="I100" s="115">
        <f>SUM($C$99:I99)</f>
        <v>0</v>
      </c>
      <c r="J100" s="115">
        <f>SUM($C$99:J99)</f>
        <v>0</v>
      </c>
      <c r="K100" s="115">
        <f>SUM($C$99:K99)</f>
        <v>0</v>
      </c>
      <c r="L100" s="115">
        <f>SUM($C$99:L99)</f>
        <v>0</v>
      </c>
      <c r="M100" s="115">
        <f>SUM($C$99:M99)</f>
        <v>0</v>
      </c>
      <c r="N100" s="115">
        <f>SUM($C$99:N99)</f>
        <v>0</v>
      </c>
      <c r="O100" s="115">
        <f>SUM($C$99:O99)</f>
        <v>0</v>
      </c>
      <c r="P100" s="115">
        <f>SUM($C$99:P99)</f>
        <v>0</v>
      </c>
      <c r="Q100" s="115">
        <f>SUM($C$99:Q99)</f>
        <v>0</v>
      </c>
      <c r="R100" s="115">
        <f>SUM($C$99:R99)</f>
        <v>0</v>
      </c>
      <c r="S100" s="115">
        <f>SUM($C$99:S99)</f>
        <v>0</v>
      </c>
      <c r="T100" s="115">
        <f>SUM($C$99:T99)</f>
        <v>0</v>
      </c>
      <c r="U100" s="115">
        <f>SUM($C$99:U99)</f>
        <v>0</v>
      </c>
      <c r="V100" s="115">
        <f>SUM($C$99:V99)</f>
        <v>0</v>
      </c>
      <c r="W100" s="115">
        <f>SUM($C$99:W99)</f>
        <v>0</v>
      </c>
      <c r="X100" s="115">
        <f>SUM($C$99:X99)</f>
        <v>0</v>
      </c>
      <c r="Y100" s="115">
        <f>SUM($C$99:Y99)</f>
        <v>0</v>
      </c>
      <c r="Z100" s="115">
        <f>SUM($C$99:Z99)</f>
        <v>0</v>
      </c>
      <c r="AA100" s="115">
        <f>SUM($C$99:AA99)</f>
        <v>0</v>
      </c>
    </row>
    <row r="103" spans="2:27" ht="16" x14ac:dyDescent="0.2">
      <c r="B103" s="112" t="s">
        <v>875</v>
      </c>
    </row>
    <row r="104" spans="2:27" ht="7" customHeight="1" x14ac:dyDescent="0.2">
      <c r="B104" s="114"/>
    </row>
    <row r="105" spans="2:27" x14ac:dyDescent="0.2">
      <c r="C105" s="113">
        <f>C56</f>
        <v>42766</v>
      </c>
      <c r="D105" s="113">
        <f t="shared" ref="D105:AA105" si="101">D56</f>
        <v>42794</v>
      </c>
      <c r="E105" s="113">
        <f t="shared" si="101"/>
        <v>42825</v>
      </c>
      <c r="F105" s="113">
        <f t="shared" si="101"/>
        <v>42855</v>
      </c>
      <c r="G105" s="113">
        <f t="shared" si="101"/>
        <v>42886</v>
      </c>
      <c r="H105" s="113">
        <f t="shared" si="101"/>
        <v>42916</v>
      </c>
      <c r="I105" s="113">
        <f t="shared" si="101"/>
        <v>42947</v>
      </c>
      <c r="J105" s="113">
        <f t="shared" si="101"/>
        <v>42978</v>
      </c>
      <c r="K105" s="113">
        <f t="shared" si="101"/>
        <v>43008</v>
      </c>
      <c r="L105" s="113">
        <f t="shared" si="101"/>
        <v>43039</v>
      </c>
      <c r="M105" s="113">
        <f t="shared" si="101"/>
        <v>43069</v>
      </c>
      <c r="N105" s="113">
        <f t="shared" si="101"/>
        <v>43100</v>
      </c>
      <c r="O105" s="113">
        <f t="shared" si="101"/>
        <v>43131</v>
      </c>
      <c r="P105" s="113">
        <f t="shared" si="101"/>
        <v>43159</v>
      </c>
      <c r="Q105" s="113">
        <f t="shared" si="101"/>
        <v>43190</v>
      </c>
      <c r="R105" s="113">
        <f t="shared" si="101"/>
        <v>43220</v>
      </c>
      <c r="S105" s="113">
        <f t="shared" si="101"/>
        <v>43251</v>
      </c>
      <c r="T105" s="113">
        <f t="shared" si="101"/>
        <v>43281</v>
      </c>
      <c r="U105" s="113">
        <f t="shared" si="101"/>
        <v>43312</v>
      </c>
      <c r="V105" s="113">
        <f t="shared" si="101"/>
        <v>43343</v>
      </c>
      <c r="W105" s="113">
        <f t="shared" si="101"/>
        <v>43373</v>
      </c>
      <c r="X105" s="113">
        <f t="shared" si="101"/>
        <v>43404</v>
      </c>
      <c r="Y105" s="113">
        <f t="shared" si="101"/>
        <v>43434</v>
      </c>
      <c r="Z105" s="113">
        <f t="shared" si="101"/>
        <v>43465</v>
      </c>
      <c r="AA105" s="113">
        <f t="shared" si="101"/>
        <v>43496</v>
      </c>
    </row>
    <row r="106" spans="2:27" x14ac:dyDescent="0.2">
      <c r="B106" s="1" t="str">
        <f>B24</f>
        <v>AdWords</v>
      </c>
      <c r="C106" s="3">
        <f t="shared" ref="C106:AA106" si="102">$C24</f>
        <v>0</v>
      </c>
      <c r="D106" s="3">
        <f t="shared" si="102"/>
        <v>0</v>
      </c>
      <c r="E106" s="3">
        <f t="shared" si="102"/>
        <v>0</v>
      </c>
      <c r="F106" s="3">
        <f t="shared" si="102"/>
        <v>0</v>
      </c>
      <c r="G106" s="3">
        <f t="shared" si="102"/>
        <v>0</v>
      </c>
      <c r="H106" s="3">
        <f t="shared" si="102"/>
        <v>0</v>
      </c>
      <c r="I106" s="3">
        <f t="shared" si="102"/>
        <v>0</v>
      </c>
      <c r="J106" s="3">
        <f t="shared" si="102"/>
        <v>0</v>
      </c>
      <c r="K106" s="3">
        <f t="shared" si="102"/>
        <v>0</v>
      </c>
      <c r="L106" s="3">
        <f t="shared" si="102"/>
        <v>0</v>
      </c>
      <c r="M106" s="3">
        <f t="shared" si="102"/>
        <v>0</v>
      </c>
      <c r="N106" s="3">
        <f t="shared" si="102"/>
        <v>0</v>
      </c>
      <c r="O106" s="3">
        <f t="shared" si="102"/>
        <v>0</v>
      </c>
      <c r="P106" s="3">
        <f t="shared" si="102"/>
        <v>0</v>
      </c>
      <c r="Q106" s="3">
        <f t="shared" si="102"/>
        <v>0</v>
      </c>
      <c r="R106" s="3">
        <f t="shared" si="102"/>
        <v>0</v>
      </c>
      <c r="S106" s="3">
        <f t="shared" si="102"/>
        <v>0</v>
      </c>
      <c r="T106" s="3">
        <f t="shared" si="102"/>
        <v>0</v>
      </c>
      <c r="U106" s="3">
        <f t="shared" si="102"/>
        <v>0</v>
      </c>
      <c r="V106" s="3">
        <f t="shared" si="102"/>
        <v>0</v>
      </c>
      <c r="W106" s="3">
        <f t="shared" si="102"/>
        <v>0</v>
      </c>
      <c r="X106" s="3">
        <f t="shared" si="102"/>
        <v>0</v>
      </c>
      <c r="Y106" s="3">
        <f t="shared" si="102"/>
        <v>0</v>
      </c>
      <c r="Z106" s="3">
        <f t="shared" si="102"/>
        <v>0</v>
      </c>
      <c r="AA106" s="3">
        <f t="shared" si="102"/>
        <v>0</v>
      </c>
    </row>
    <row r="107" spans="2:27" x14ac:dyDescent="0.2">
      <c r="B107" s="1" t="str">
        <f>B25</f>
        <v>Facebook Ad</v>
      </c>
      <c r="C107" s="21">
        <f t="shared" ref="C107:AA107" si="103">$C25</f>
        <v>0</v>
      </c>
      <c r="D107" s="21">
        <f t="shared" si="103"/>
        <v>0</v>
      </c>
      <c r="E107" s="21">
        <f t="shared" si="103"/>
        <v>0</v>
      </c>
      <c r="F107" s="21">
        <f t="shared" si="103"/>
        <v>0</v>
      </c>
      <c r="G107" s="21">
        <f t="shared" si="103"/>
        <v>0</v>
      </c>
      <c r="H107" s="21">
        <f t="shared" si="103"/>
        <v>0</v>
      </c>
      <c r="I107" s="21">
        <f t="shared" si="103"/>
        <v>0</v>
      </c>
      <c r="J107" s="21">
        <f t="shared" si="103"/>
        <v>0</v>
      </c>
      <c r="K107" s="21">
        <f t="shared" si="103"/>
        <v>0</v>
      </c>
      <c r="L107" s="21">
        <f t="shared" si="103"/>
        <v>0</v>
      </c>
      <c r="M107" s="21">
        <f t="shared" si="103"/>
        <v>0</v>
      </c>
      <c r="N107" s="21">
        <f t="shared" si="103"/>
        <v>0</v>
      </c>
      <c r="O107" s="21">
        <f t="shared" si="103"/>
        <v>0</v>
      </c>
      <c r="P107" s="21">
        <f t="shared" si="103"/>
        <v>0</v>
      </c>
      <c r="Q107" s="21">
        <f t="shared" si="103"/>
        <v>0</v>
      </c>
      <c r="R107" s="21">
        <f t="shared" si="103"/>
        <v>0</v>
      </c>
      <c r="S107" s="21">
        <f t="shared" si="103"/>
        <v>0</v>
      </c>
      <c r="T107" s="21">
        <f t="shared" si="103"/>
        <v>0</v>
      </c>
      <c r="U107" s="21">
        <f t="shared" si="103"/>
        <v>0</v>
      </c>
      <c r="V107" s="21">
        <f t="shared" si="103"/>
        <v>0</v>
      </c>
      <c r="W107" s="21">
        <f t="shared" si="103"/>
        <v>0</v>
      </c>
      <c r="X107" s="21">
        <f t="shared" si="103"/>
        <v>0</v>
      </c>
      <c r="Y107" s="21">
        <f t="shared" si="103"/>
        <v>0</v>
      </c>
      <c r="Z107" s="21">
        <f t="shared" si="103"/>
        <v>0</v>
      </c>
      <c r="AA107" s="21">
        <f t="shared" si="103"/>
        <v>0</v>
      </c>
    </row>
    <row r="108" spans="2:27" x14ac:dyDescent="0.2">
      <c r="B108" s="1" t="str">
        <f>B26</f>
        <v>LinkedIn Ad</v>
      </c>
      <c r="C108" s="21">
        <f t="shared" ref="C108:AA108" si="104">$C26</f>
        <v>0</v>
      </c>
      <c r="D108" s="21">
        <f t="shared" si="104"/>
        <v>0</v>
      </c>
      <c r="E108" s="21">
        <f t="shared" si="104"/>
        <v>0</v>
      </c>
      <c r="F108" s="21">
        <f t="shared" si="104"/>
        <v>0</v>
      </c>
      <c r="G108" s="21">
        <f t="shared" si="104"/>
        <v>0</v>
      </c>
      <c r="H108" s="21">
        <f t="shared" si="104"/>
        <v>0</v>
      </c>
      <c r="I108" s="21">
        <f t="shared" si="104"/>
        <v>0</v>
      </c>
      <c r="J108" s="21">
        <f t="shared" si="104"/>
        <v>0</v>
      </c>
      <c r="K108" s="21">
        <f t="shared" si="104"/>
        <v>0</v>
      </c>
      <c r="L108" s="21">
        <f t="shared" si="104"/>
        <v>0</v>
      </c>
      <c r="M108" s="21">
        <f t="shared" si="104"/>
        <v>0</v>
      </c>
      <c r="N108" s="21">
        <f t="shared" si="104"/>
        <v>0</v>
      </c>
      <c r="O108" s="21">
        <f t="shared" si="104"/>
        <v>0</v>
      </c>
      <c r="P108" s="21">
        <f t="shared" si="104"/>
        <v>0</v>
      </c>
      <c r="Q108" s="21">
        <f t="shared" si="104"/>
        <v>0</v>
      </c>
      <c r="R108" s="21">
        <f t="shared" si="104"/>
        <v>0</v>
      </c>
      <c r="S108" s="21">
        <f t="shared" si="104"/>
        <v>0</v>
      </c>
      <c r="T108" s="21">
        <f t="shared" si="104"/>
        <v>0</v>
      </c>
      <c r="U108" s="21">
        <f t="shared" si="104"/>
        <v>0</v>
      </c>
      <c r="V108" s="21">
        <f t="shared" si="104"/>
        <v>0</v>
      </c>
      <c r="W108" s="21">
        <f t="shared" si="104"/>
        <v>0</v>
      </c>
      <c r="X108" s="21">
        <f t="shared" si="104"/>
        <v>0</v>
      </c>
      <c r="Y108" s="21">
        <f t="shared" si="104"/>
        <v>0</v>
      </c>
      <c r="Z108" s="21">
        <f t="shared" si="104"/>
        <v>0</v>
      </c>
      <c r="AA108" s="21">
        <f t="shared" si="104"/>
        <v>0</v>
      </c>
    </row>
    <row r="109" spans="2:27" x14ac:dyDescent="0.2">
      <c r="B109" s="1" t="str">
        <f>B27</f>
        <v>Spotify Ad</v>
      </c>
      <c r="C109" s="21">
        <f t="shared" ref="C109:AA109" si="105">$C27</f>
        <v>0</v>
      </c>
      <c r="D109" s="21">
        <f t="shared" si="105"/>
        <v>0</v>
      </c>
      <c r="E109" s="21">
        <f t="shared" si="105"/>
        <v>0</v>
      </c>
      <c r="F109" s="21">
        <f t="shared" si="105"/>
        <v>0</v>
      </c>
      <c r="G109" s="21">
        <f t="shared" si="105"/>
        <v>0</v>
      </c>
      <c r="H109" s="21">
        <f t="shared" si="105"/>
        <v>0</v>
      </c>
      <c r="I109" s="21">
        <f t="shared" si="105"/>
        <v>0</v>
      </c>
      <c r="J109" s="21">
        <f t="shared" si="105"/>
        <v>0</v>
      </c>
      <c r="K109" s="21">
        <f t="shared" si="105"/>
        <v>0</v>
      </c>
      <c r="L109" s="21">
        <f t="shared" si="105"/>
        <v>0</v>
      </c>
      <c r="M109" s="21">
        <f t="shared" si="105"/>
        <v>0</v>
      </c>
      <c r="N109" s="21">
        <f t="shared" si="105"/>
        <v>0</v>
      </c>
      <c r="O109" s="21">
        <f t="shared" si="105"/>
        <v>0</v>
      </c>
      <c r="P109" s="21">
        <f t="shared" si="105"/>
        <v>0</v>
      </c>
      <c r="Q109" s="21">
        <f t="shared" si="105"/>
        <v>0</v>
      </c>
      <c r="R109" s="21">
        <f t="shared" si="105"/>
        <v>0</v>
      </c>
      <c r="S109" s="21">
        <f t="shared" si="105"/>
        <v>0</v>
      </c>
      <c r="T109" s="21">
        <f t="shared" si="105"/>
        <v>0</v>
      </c>
      <c r="U109" s="21">
        <f t="shared" si="105"/>
        <v>0</v>
      </c>
      <c r="V109" s="21">
        <f t="shared" si="105"/>
        <v>0</v>
      </c>
      <c r="W109" s="21">
        <f t="shared" si="105"/>
        <v>0</v>
      </c>
      <c r="X109" s="21">
        <f t="shared" si="105"/>
        <v>0</v>
      </c>
      <c r="Y109" s="21">
        <f t="shared" si="105"/>
        <v>0</v>
      </c>
      <c r="Z109" s="21">
        <f t="shared" si="105"/>
        <v>0</v>
      </c>
      <c r="AA109" s="21">
        <f t="shared" si="105"/>
        <v>0</v>
      </c>
    </row>
    <row r="110" spans="2:27" x14ac:dyDescent="0.2">
      <c r="B110" s="1" t="s">
        <v>854</v>
      </c>
      <c r="C110" s="21">
        <f t="shared" ref="C110:AA110" si="106">IF(Scenario=0,($C$17*$C$18)/12,$C$17/12)</f>
        <v>0</v>
      </c>
      <c r="D110" s="21">
        <f t="shared" si="106"/>
        <v>0</v>
      </c>
      <c r="E110" s="21">
        <f t="shared" si="106"/>
        <v>0</v>
      </c>
      <c r="F110" s="21">
        <f t="shared" si="106"/>
        <v>0</v>
      </c>
      <c r="G110" s="21">
        <f t="shared" si="106"/>
        <v>0</v>
      </c>
      <c r="H110" s="21">
        <f t="shared" si="106"/>
        <v>0</v>
      </c>
      <c r="I110" s="21">
        <f t="shared" si="106"/>
        <v>0</v>
      </c>
      <c r="J110" s="21">
        <f t="shared" si="106"/>
        <v>0</v>
      </c>
      <c r="K110" s="21">
        <f t="shared" si="106"/>
        <v>0</v>
      </c>
      <c r="L110" s="21">
        <f t="shared" si="106"/>
        <v>0</v>
      </c>
      <c r="M110" s="21">
        <f t="shared" si="106"/>
        <v>0</v>
      </c>
      <c r="N110" s="21">
        <f t="shared" si="106"/>
        <v>0</v>
      </c>
      <c r="O110" s="21">
        <f t="shared" si="106"/>
        <v>0</v>
      </c>
      <c r="P110" s="21">
        <f t="shared" si="106"/>
        <v>0</v>
      </c>
      <c r="Q110" s="21">
        <f t="shared" si="106"/>
        <v>0</v>
      </c>
      <c r="R110" s="21">
        <f t="shared" si="106"/>
        <v>0</v>
      </c>
      <c r="S110" s="21">
        <f t="shared" si="106"/>
        <v>0</v>
      </c>
      <c r="T110" s="21">
        <f t="shared" si="106"/>
        <v>0</v>
      </c>
      <c r="U110" s="21">
        <f t="shared" si="106"/>
        <v>0</v>
      </c>
      <c r="V110" s="21">
        <f t="shared" si="106"/>
        <v>0</v>
      </c>
      <c r="W110" s="21">
        <f t="shared" si="106"/>
        <v>0</v>
      </c>
      <c r="X110" s="21">
        <f t="shared" si="106"/>
        <v>0</v>
      </c>
      <c r="Y110" s="21">
        <f t="shared" si="106"/>
        <v>0</v>
      </c>
      <c r="Z110" s="21">
        <f t="shared" si="106"/>
        <v>0</v>
      </c>
      <c r="AA110" s="21">
        <f t="shared" si="106"/>
        <v>0</v>
      </c>
    </row>
    <row r="111" spans="2:27" x14ac:dyDescent="0.2">
      <c r="B111" s="1" t="s">
        <v>855</v>
      </c>
      <c r="C111" s="49">
        <f t="shared" ref="C111:AA111" si="107">$C$19</f>
        <v>0</v>
      </c>
      <c r="D111" s="49">
        <f t="shared" si="107"/>
        <v>0</v>
      </c>
      <c r="E111" s="49">
        <f t="shared" si="107"/>
        <v>0</v>
      </c>
      <c r="F111" s="49">
        <f t="shared" si="107"/>
        <v>0</v>
      </c>
      <c r="G111" s="49">
        <f t="shared" si="107"/>
        <v>0</v>
      </c>
      <c r="H111" s="49">
        <f t="shared" si="107"/>
        <v>0</v>
      </c>
      <c r="I111" s="49">
        <f t="shared" si="107"/>
        <v>0</v>
      </c>
      <c r="J111" s="49">
        <f t="shared" si="107"/>
        <v>0</v>
      </c>
      <c r="K111" s="49">
        <f t="shared" si="107"/>
        <v>0</v>
      </c>
      <c r="L111" s="49">
        <f t="shared" si="107"/>
        <v>0</v>
      </c>
      <c r="M111" s="49">
        <f t="shared" si="107"/>
        <v>0</v>
      </c>
      <c r="N111" s="49">
        <f t="shared" si="107"/>
        <v>0</v>
      </c>
      <c r="O111" s="49">
        <f t="shared" si="107"/>
        <v>0</v>
      </c>
      <c r="P111" s="49">
        <f t="shared" si="107"/>
        <v>0</v>
      </c>
      <c r="Q111" s="49">
        <f t="shared" si="107"/>
        <v>0</v>
      </c>
      <c r="R111" s="49">
        <f t="shared" si="107"/>
        <v>0</v>
      </c>
      <c r="S111" s="49">
        <f t="shared" si="107"/>
        <v>0</v>
      </c>
      <c r="T111" s="49">
        <f t="shared" si="107"/>
        <v>0</v>
      </c>
      <c r="U111" s="49">
        <f t="shared" si="107"/>
        <v>0</v>
      </c>
      <c r="V111" s="49">
        <f t="shared" si="107"/>
        <v>0</v>
      </c>
      <c r="W111" s="49">
        <f t="shared" si="107"/>
        <v>0</v>
      </c>
      <c r="X111" s="49">
        <f t="shared" si="107"/>
        <v>0</v>
      </c>
      <c r="Y111" s="49">
        <f t="shared" si="107"/>
        <v>0</v>
      </c>
      <c r="Z111" s="49">
        <f t="shared" si="107"/>
        <v>0</v>
      </c>
      <c r="AA111" s="49">
        <f t="shared" si="107"/>
        <v>0</v>
      </c>
    </row>
    <row r="112" spans="2:27" x14ac:dyDescent="0.2">
      <c r="B112" s="117" t="s">
        <v>876</v>
      </c>
      <c r="C112" s="84">
        <f t="shared" ref="C112:AA112" si="108">SUM(C106:C111)</f>
        <v>0</v>
      </c>
      <c r="D112" s="84">
        <f t="shared" si="108"/>
        <v>0</v>
      </c>
      <c r="E112" s="84">
        <f t="shared" si="108"/>
        <v>0</v>
      </c>
      <c r="F112" s="84">
        <f t="shared" si="108"/>
        <v>0</v>
      </c>
      <c r="G112" s="84">
        <f t="shared" si="108"/>
        <v>0</v>
      </c>
      <c r="H112" s="84">
        <f t="shared" si="108"/>
        <v>0</v>
      </c>
      <c r="I112" s="84">
        <f t="shared" si="108"/>
        <v>0</v>
      </c>
      <c r="J112" s="84">
        <f t="shared" si="108"/>
        <v>0</v>
      </c>
      <c r="K112" s="84">
        <f t="shared" si="108"/>
        <v>0</v>
      </c>
      <c r="L112" s="84">
        <f t="shared" si="108"/>
        <v>0</v>
      </c>
      <c r="M112" s="84">
        <f t="shared" si="108"/>
        <v>0</v>
      </c>
      <c r="N112" s="84">
        <f t="shared" si="108"/>
        <v>0</v>
      </c>
      <c r="O112" s="84">
        <f t="shared" si="108"/>
        <v>0</v>
      </c>
      <c r="P112" s="84">
        <f t="shared" si="108"/>
        <v>0</v>
      </c>
      <c r="Q112" s="84">
        <f t="shared" si="108"/>
        <v>0</v>
      </c>
      <c r="R112" s="84">
        <f t="shared" si="108"/>
        <v>0</v>
      </c>
      <c r="S112" s="84">
        <f t="shared" si="108"/>
        <v>0</v>
      </c>
      <c r="T112" s="84">
        <f t="shared" si="108"/>
        <v>0</v>
      </c>
      <c r="U112" s="84">
        <f t="shared" si="108"/>
        <v>0</v>
      </c>
      <c r="V112" s="84">
        <f t="shared" si="108"/>
        <v>0</v>
      </c>
      <c r="W112" s="84">
        <f t="shared" si="108"/>
        <v>0</v>
      </c>
      <c r="X112" s="84">
        <f t="shared" si="108"/>
        <v>0</v>
      </c>
      <c r="Y112" s="84">
        <f t="shared" si="108"/>
        <v>0</v>
      </c>
      <c r="Z112" s="84">
        <f t="shared" si="108"/>
        <v>0</v>
      </c>
      <c r="AA112" s="84">
        <f t="shared" si="108"/>
        <v>0</v>
      </c>
    </row>
    <row r="113" spans="2:27" x14ac:dyDescent="0.2">
      <c r="B113" s="111" t="s">
        <v>866</v>
      </c>
      <c r="C113" s="115">
        <f>SUM($C$112:C112)</f>
        <v>0</v>
      </c>
      <c r="D113" s="115">
        <f>SUM($C$112:D112)</f>
        <v>0</v>
      </c>
      <c r="E113" s="115">
        <f>SUM($C$112:E112)</f>
        <v>0</v>
      </c>
      <c r="F113" s="115">
        <f>SUM($C$112:F112)</f>
        <v>0</v>
      </c>
      <c r="G113" s="115">
        <f>SUM($C$112:G112)</f>
        <v>0</v>
      </c>
      <c r="H113" s="115">
        <f>SUM($C$112:H112)</f>
        <v>0</v>
      </c>
      <c r="I113" s="115">
        <f>SUM($C$112:I112)</f>
        <v>0</v>
      </c>
      <c r="J113" s="115">
        <f>SUM($C$112:J112)</f>
        <v>0</v>
      </c>
      <c r="K113" s="115">
        <f>SUM($C$112:K112)</f>
        <v>0</v>
      </c>
      <c r="L113" s="115">
        <f>SUM($C$112:L112)</f>
        <v>0</v>
      </c>
      <c r="M113" s="115">
        <f>SUM($C$112:M112)</f>
        <v>0</v>
      </c>
      <c r="N113" s="115">
        <f>SUM($C$112:N112)</f>
        <v>0</v>
      </c>
      <c r="O113" s="115">
        <f>SUM($C$112:O112)</f>
        <v>0</v>
      </c>
      <c r="P113" s="115">
        <f>SUM($C$112:P112)</f>
        <v>0</v>
      </c>
      <c r="Q113" s="115">
        <f>SUM($C$112:Q112)</f>
        <v>0</v>
      </c>
      <c r="R113" s="115">
        <f>SUM($C$112:R112)</f>
        <v>0</v>
      </c>
      <c r="S113" s="115">
        <f>SUM($C$112:S112)</f>
        <v>0</v>
      </c>
      <c r="T113" s="115">
        <f>SUM($C$112:T112)</f>
        <v>0</v>
      </c>
      <c r="U113" s="115">
        <f>SUM($C$112:U112)</f>
        <v>0</v>
      </c>
      <c r="V113" s="115">
        <f>SUM($C$112:V112)</f>
        <v>0</v>
      </c>
      <c r="W113" s="115">
        <f>SUM($C$112:W112)</f>
        <v>0</v>
      </c>
      <c r="X113" s="115">
        <f>SUM($C$112:X112)</f>
        <v>0</v>
      </c>
      <c r="Y113" s="115">
        <f>SUM($C$112:Y112)</f>
        <v>0</v>
      </c>
      <c r="Z113" s="115">
        <f>SUM($C$112:Z112)</f>
        <v>0</v>
      </c>
      <c r="AA113" s="115">
        <f>SUM($C$112:AA112)</f>
        <v>0</v>
      </c>
    </row>
    <row r="115" spans="2:27" x14ac:dyDescent="0.2">
      <c r="B115" s="83" t="s">
        <v>887</v>
      </c>
      <c r="C115" s="85">
        <f>C99-C112</f>
        <v>0</v>
      </c>
      <c r="D115" s="85">
        <f t="shared" ref="D115:AA115" si="109">D99-D112</f>
        <v>0</v>
      </c>
      <c r="E115" s="85">
        <f t="shared" si="109"/>
        <v>0</v>
      </c>
      <c r="F115" s="85">
        <f t="shared" si="109"/>
        <v>0</v>
      </c>
      <c r="G115" s="85">
        <f t="shared" si="109"/>
        <v>0</v>
      </c>
      <c r="H115" s="85">
        <f t="shared" si="109"/>
        <v>0</v>
      </c>
      <c r="I115" s="85">
        <f t="shared" si="109"/>
        <v>0</v>
      </c>
      <c r="J115" s="85">
        <f t="shared" si="109"/>
        <v>0</v>
      </c>
      <c r="K115" s="85">
        <f t="shared" si="109"/>
        <v>0</v>
      </c>
      <c r="L115" s="85">
        <f t="shared" si="109"/>
        <v>0</v>
      </c>
      <c r="M115" s="85">
        <f t="shared" si="109"/>
        <v>0</v>
      </c>
      <c r="N115" s="85">
        <f t="shared" si="109"/>
        <v>0</v>
      </c>
      <c r="O115" s="85">
        <f t="shared" si="109"/>
        <v>0</v>
      </c>
      <c r="P115" s="85">
        <f t="shared" si="109"/>
        <v>0</v>
      </c>
      <c r="Q115" s="85">
        <f t="shared" si="109"/>
        <v>0</v>
      </c>
      <c r="R115" s="85">
        <f t="shared" si="109"/>
        <v>0</v>
      </c>
      <c r="S115" s="85">
        <f t="shared" si="109"/>
        <v>0</v>
      </c>
      <c r="T115" s="85">
        <f t="shared" si="109"/>
        <v>0</v>
      </c>
      <c r="U115" s="85">
        <f t="shared" si="109"/>
        <v>0</v>
      </c>
      <c r="V115" s="85">
        <f t="shared" si="109"/>
        <v>0</v>
      </c>
      <c r="W115" s="85">
        <f t="shared" si="109"/>
        <v>0</v>
      </c>
      <c r="X115" s="85">
        <f t="shared" si="109"/>
        <v>0</v>
      </c>
      <c r="Y115" s="85">
        <f t="shared" si="109"/>
        <v>0</v>
      </c>
      <c r="Z115" s="85">
        <f t="shared" si="109"/>
        <v>0</v>
      </c>
      <c r="AA115" s="85">
        <f t="shared" si="109"/>
        <v>0</v>
      </c>
    </row>
    <row r="116" spans="2:27" x14ac:dyDescent="0.2">
      <c r="B116" s="89" t="s">
        <v>888</v>
      </c>
      <c r="C116" s="118">
        <f>C100-C113</f>
        <v>0</v>
      </c>
      <c r="D116" s="118">
        <f t="shared" ref="D116:AA116" si="110">D100-D113</f>
        <v>0</v>
      </c>
      <c r="E116" s="118">
        <f t="shared" si="110"/>
        <v>0</v>
      </c>
      <c r="F116" s="118">
        <f t="shared" si="110"/>
        <v>0</v>
      </c>
      <c r="G116" s="118">
        <f t="shared" si="110"/>
        <v>0</v>
      </c>
      <c r="H116" s="118">
        <f t="shared" si="110"/>
        <v>0</v>
      </c>
      <c r="I116" s="118">
        <f t="shared" si="110"/>
        <v>0</v>
      </c>
      <c r="J116" s="118">
        <f t="shared" si="110"/>
        <v>0</v>
      </c>
      <c r="K116" s="118">
        <f t="shared" si="110"/>
        <v>0</v>
      </c>
      <c r="L116" s="118">
        <f t="shared" si="110"/>
        <v>0</v>
      </c>
      <c r="M116" s="118">
        <f t="shared" si="110"/>
        <v>0</v>
      </c>
      <c r="N116" s="118">
        <f t="shared" si="110"/>
        <v>0</v>
      </c>
      <c r="O116" s="118">
        <f t="shared" si="110"/>
        <v>0</v>
      </c>
      <c r="P116" s="118">
        <f t="shared" si="110"/>
        <v>0</v>
      </c>
      <c r="Q116" s="118">
        <f t="shared" si="110"/>
        <v>0</v>
      </c>
      <c r="R116" s="118">
        <f t="shared" si="110"/>
        <v>0</v>
      </c>
      <c r="S116" s="118">
        <f t="shared" si="110"/>
        <v>0</v>
      </c>
      <c r="T116" s="118">
        <f t="shared" si="110"/>
        <v>0</v>
      </c>
      <c r="U116" s="118">
        <f t="shared" si="110"/>
        <v>0</v>
      </c>
      <c r="V116" s="118">
        <f t="shared" si="110"/>
        <v>0</v>
      </c>
      <c r="W116" s="118">
        <f t="shared" si="110"/>
        <v>0</v>
      </c>
      <c r="X116" s="118">
        <f t="shared" si="110"/>
        <v>0</v>
      </c>
      <c r="Y116" s="118">
        <f t="shared" si="110"/>
        <v>0</v>
      </c>
      <c r="Z116" s="118">
        <f t="shared" si="110"/>
        <v>0</v>
      </c>
      <c r="AA116" s="118">
        <f t="shared" si="110"/>
        <v>0</v>
      </c>
    </row>
    <row r="117" spans="2:27" x14ac:dyDescent="0.2">
      <c r="B117" s="111" t="s">
        <v>886</v>
      </c>
      <c r="C117" s="89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</row>
    <row r="120" spans="2:27" ht="16" x14ac:dyDescent="0.2">
      <c r="B120" s="112" t="s">
        <v>885</v>
      </c>
    </row>
    <row r="121" spans="2:27" x14ac:dyDescent="0.2">
      <c r="C121" s="11"/>
    </row>
    <row r="122" spans="2:27" x14ac:dyDescent="0.2">
      <c r="B122" s="93" t="s">
        <v>872</v>
      </c>
      <c r="C122" s="131"/>
    </row>
    <row r="123" spans="2:27" x14ac:dyDescent="0.2">
      <c r="B123" s="93" t="s">
        <v>886</v>
      </c>
      <c r="C123" s="6"/>
    </row>
    <row r="124" spans="2:27" x14ac:dyDescent="0.2">
      <c r="B124" s="93" t="s">
        <v>893</v>
      </c>
      <c r="C124" s="8"/>
    </row>
    <row r="125" spans="2:27" x14ac:dyDescent="0.2">
      <c r="B125" s="93" t="s">
        <v>888</v>
      </c>
      <c r="C125" s="8"/>
    </row>
    <row r="126" spans="2:27" x14ac:dyDescent="0.2">
      <c r="B126" s="93" t="s">
        <v>889</v>
      </c>
      <c r="C126" s="23"/>
    </row>
    <row r="128" spans="2:27" x14ac:dyDescent="0.2">
      <c r="C128" s="132" t="s">
        <v>859</v>
      </c>
      <c r="D128" s="132" t="s">
        <v>892</v>
      </c>
    </row>
    <row r="129" spans="2:8" x14ac:dyDescent="0.2">
      <c r="B129" s="93" t="s">
        <v>31</v>
      </c>
      <c r="C129" s="23"/>
      <c r="D129" s="131"/>
    </row>
    <row r="130" spans="2:8" x14ac:dyDescent="0.2">
      <c r="B130" s="93" t="s">
        <v>852</v>
      </c>
      <c r="C130" s="23"/>
      <c r="D130" s="131"/>
    </row>
    <row r="131" spans="2:8" x14ac:dyDescent="0.2">
      <c r="B131" s="93" t="s">
        <v>891</v>
      </c>
      <c r="C131" s="23"/>
      <c r="D131" s="131"/>
    </row>
    <row r="133" spans="2:8" x14ac:dyDescent="0.2">
      <c r="C133" s="140" t="s">
        <v>872</v>
      </c>
      <c r="D133" s="140" t="s">
        <v>869</v>
      </c>
      <c r="E133" s="140" t="s">
        <v>871</v>
      </c>
      <c r="F133" s="140" t="s">
        <v>837</v>
      </c>
    </row>
    <row r="134" spans="2:8" hidden="1" x14ac:dyDescent="0.2">
      <c r="C134" s="35">
        <f>C122</f>
        <v>0</v>
      </c>
      <c r="D134" s="3">
        <f>C124</f>
        <v>0</v>
      </c>
      <c r="E134" s="3">
        <f>C125</f>
        <v>0</v>
      </c>
      <c r="F134" s="21">
        <f>C126</f>
        <v>0</v>
      </c>
    </row>
    <row r="135" spans="2:8" x14ac:dyDescent="0.2">
      <c r="B135" s="141">
        <v>0</v>
      </c>
      <c r="C135" s="131"/>
      <c r="D135" s="8"/>
      <c r="E135" s="8"/>
      <c r="F135" s="23"/>
    </row>
    <row r="136" spans="2:8" x14ac:dyDescent="0.2">
      <c r="B136" s="141">
        <v>1</v>
      </c>
      <c r="C136" s="131"/>
      <c r="D136" s="8"/>
      <c r="E136" s="8"/>
      <c r="F136" s="23"/>
    </row>
    <row r="138" spans="2:8" x14ac:dyDescent="0.2">
      <c r="B138" s="175" t="s">
        <v>1004</v>
      </c>
    </row>
    <row r="139" spans="2:8" x14ac:dyDescent="0.2">
      <c r="B139" s="136"/>
      <c r="C139" s="136"/>
      <c r="D139" s="139" t="s">
        <v>895</v>
      </c>
      <c r="E139" s="137"/>
      <c r="F139" s="137"/>
      <c r="G139" s="137"/>
      <c r="H139" s="137"/>
    </row>
    <row r="140" spans="2:8" x14ac:dyDescent="0.2">
      <c r="B140" s="138"/>
      <c r="C140" s="135"/>
      <c r="D140" s="134">
        <f>E140-0.02</f>
        <v>3.9999999999999994E-2</v>
      </c>
      <c r="E140" s="134">
        <f>F140-0.02</f>
        <v>0.06</v>
      </c>
      <c r="F140" s="134">
        <v>0.08</v>
      </c>
      <c r="G140" s="134">
        <f>F140+0.02</f>
        <v>0.1</v>
      </c>
      <c r="H140" s="134">
        <f>G140+0.02</f>
        <v>0.12000000000000001</v>
      </c>
    </row>
    <row r="141" spans="2:8" ht="15" customHeight="1" x14ac:dyDescent="0.2">
      <c r="B141" s="189" t="s">
        <v>896</v>
      </c>
      <c r="C141" s="134">
        <f>C142-0.02</f>
        <v>3.9999999999999994E-2</v>
      </c>
      <c r="D141" s="133"/>
      <c r="E141" s="133"/>
      <c r="F141" s="133"/>
      <c r="G141" s="133"/>
      <c r="H141" s="133"/>
    </row>
    <row r="142" spans="2:8" x14ac:dyDescent="0.2">
      <c r="B142" s="189"/>
      <c r="C142" s="134">
        <f>C143-0.02</f>
        <v>0.06</v>
      </c>
      <c r="D142" s="133"/>
      <c r="E142" s="133"/>
      <c r="F142" s="133"/>
      <c r="G142" s="133"/>
      <c r="H142" s="133"/>
    </row>
    <row r="143" spans="2:8" x14ac:dyDescent="0.2">
      <c r="B143" s="189"/>
      <c r="C143" s="134">
        <v>0.08</v>
      </c>
      <c r="D143" s="133"/>
      <c r="E143" s="133"/>
      <c r="F143" s="133"/>
      <c r="G143" s="133"/>
      <c r="H143" s="133"/>
    </row>
    <row r="144" spans="2:8" x14ac:dyDescent="0.2">
      <c r="B144" s="189"/>
      <c r="C144" s="134">
        <f>C143+0.02</f>
        <v>0.1</v>
      </c>
      <c r="D144" s="133"/>
      <c r="E144" s="133"/>
      <c r="F144" s="133"/>
      <c r="G144" s="133"/>
      <c r="H144" s="133"/>
    </row>
    <row r="145" spans="2:8" x14ac:dyDescent="0.2">
      <c r="B145" s="189"/>
      <c r="C145" s="134">
        <f>C144+0.02</f>
        <v>0.12000000000000001</v>
      </c>
      <c r="D145" s="133"/>
      <c r="E145" s="133"/>
      <c r="F145" s="133"/>
      <c r="G145" s="133"/>
      <c r="H145" s="133"/>
    </row>
    <row r="147" spans="2:8" x14ac:dyDescent="0.2">
      <c r="B147" s="175" t="s">
        <v>954</v>
      </c>
    </row>
    <row r="148" spans="2:8" x14ac:dyDescent="0.2">
      <c r="B148" s="136"/>
      <c r="C148" s="136"/>
      <c r="D148" s="139" t="s">
        <v>898</v>
      </c>
      <c r="E148" s="137"/>
      <c r="F148" s="137"/>
      <c r="G148" s="137"/>
      <c r="H148" s="137"/>
    </row>
    <row r="149" spans="2:8" x14ac:dyDescent="0.2">
      <c r="B149" s="138"/>
      <c r="C149" s="135"/>
      <c r="D149" s="134">
        <f>E149-0.01</f>
        <v>9.9999999999999967E-3</v>
      </c>
      <c r="E149" s="134">
        <f>F149-0.01</f>
        <v>1.9999999999999997E-2</v>
      </c>
      <c r="F149" s="134">
        <v>0.03</v>
      </c>
      <c r="G149" s="134">
        <f>F149+0.01</f>
        <v>0.04</v>
      </c>
      <c r="H149" s="134">
        <f>G149+0.01</f>
        <v>0.05</v>
      </c>
    </row>
    <row r="150" spans="2:8" ht="15" customHeight="1" x14ac:dyDescent="0.2">
      <c r="B150" s="189" t="s">
        <v>897</v>
      </c>
      <c r="C150" s="134">
        <f>C151-0.01</f>
        <v>0</v>
      </c>
      <c r="D150" s="133"/>
      <c r="E150" s="133"/>
      <c r="F150" s="133"/>
      <c r="G150" s="133"/>
      <c r="H150" s="133"/>
    </row>
    <row r="151" spans="2:8" x14ac:dyDescent="0.2">
      <c r="B151" s="189"/>
      <c r="C151" s="134">
        <f>C152-0.01</f>
        <v>0.01</v>
      </c>
      <c r="D151" s="133"/>
      <c r="E151" s="133"/>
      <c r="F151" s="133"/>
      <c r="G151" s="133"/>
      <c r="H151" s="133"/>
    </row>
    <row r="152" spans="2:8" x14ac:dyDescent="0.2">
      <c r="B152" s="189"/>
      <c r="C152" s="134">
        <v>0.02</v>
      </c>
      <c r="D152" s="133"/>
      <c r="E152" s="133"/>
      <c r="F152" s="133"/>
      <c r="G152" s="133"/>
      <c r="H152" s="133"/>
    </row>
    <row r="153" spans="2:8" x14ac:dyDescent="0.2">
      <c r="B153" s="189"/>
      <c r="C153" s="134">
        <f>C152+0.01</f>
        <v>0.03</v>
      </c>
      <c r="D153" s="133"/>
      <c r="E153" s="133"/>
      <c r="F153" s="133"/>
      <c r="G153" s="133"/>
      <c r="H153" s="133"/>
    </row>
    <row r="154" spans="2:8" x14ac:dyDescent="0.2">
      <c r="B154" s="189"/>
      <c r="C154" s="134">
        <f>C153+0.01</f>
        <v>0.04</v>
      </c>
      <c r="D154" s="133"/>
      <c r="E154" s="133"/>
      <c r="F154" s="133"/>
      <c r="G154" s="133"/>
      <c r="H154" s="133"/>
    </row>
  </sheetData>
  <mergeCells count="2">
    <mergeCell ref="B141:B145"/>
    <mergeCell ref="B150:B154"/>
  </mergeCells>
  <dataValidations count="1">
    <dataValidation type="list" allowBlank="1" showInputMessage="1" showErrorMessage="1" prompt="0 = No social media manager_x000a_1 = With social media manger" sqref="C15" xr:uid="{00000000-0002-0000-0900-000000000000}">
      <formula1>"0,1"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B1:M48"/>
  <sheetViews>
    <sheetView showGridLines="0" tabSelected="1" zoomScale="90" zoomScaleNormal="90" workbookViewId="0"/>
  </sheetViews>
  <sheetFormatPr baseColWidth="10" defaultColWidth="9.1640625" defaultRowHeight="15" x14ac:dyDescent="0.2"/>
  <cols>
    <col min="1" max="1" width="1.6640625" customWidth="1"/>
    <col min="2" max="2" width="16.6640625" customWidth="1"/>
    <col min="3" max="23" width="11.6640625" customWidth="1"/>
  </cols>
  <sheetData>
    <row r="1" spans="2:13" ht="7" customHeight="1" x14ac:dyDescent="0.2"/>
    <row r="2" spans="2:13" ht="19" x14ac:dyDescent="0.25">
      <c r="B2" s="16" t="s">
        <v>894</v>
      </c>
      <c r="C2" s="16"/>
      <c r="D2" s="16"/>
      <c r="F2" s="1"/>
    </row>
    <row r="3" spans="2:13" ht="16" x14ac:dyDescent="0.2">
      <c r="B3" s="149" t="s">
        <v>955</v>
      </c>
      <c r="C3" s="39"/>
      <c r="D3" s="14"/>
      <c r="G3" s="57"/>
      <c r="H3" s="11"/>
      <c r="I3" s="11"/>
      <c r="J3" s="11"/>
      <c r="K3" s="11"/>
      <c r="L3" s="11"/>
      <c r="M3" s="11"/>
    </row>
    <row r="4" spans="2:13" ht="16" x14ac:dyDescent="0.2">
      <c r="B4" s="4"/>
      <c r="C4" s="4"/>
      <c r="D4" s="4"/>
      <c r="G4" s="11"/>
    </row>
    <row r="5" spans="2:13" ht="19" x14ac:dyDescent="0.25">
      <c r="B5" s="188" t="s">
        <v>930</v>
      </c>
    </row>
    <row r="6" spans="2:13" x14ac:dyDescent="0.2">
      <c r="D6" s="140" t="s">
        <v>20</v>
      </c>
      <c r="E6" s="140" t="s">
        <v>31</v>
      </c>
      <c r="F6" s="140" t="s">
        <v>940</v>
      </c>
      <c r="G6" s="140" t="s">
        <v>941</v>
      </c>
    </row>
    <row r="7" spans="2:13" x14ac:dyDescent="0.2">
      <c r="B7" s="163" t="s">
        <v>931</v>
      </c>
      <c r="C7" s="164"/>
      <c r="D7" s="61">
        <f>'1.1 PPC Analyis'!E19</f>
        <v>0</v>
      </c>
      <c r="E7" s="61">
        <f>'1.1 PPC Analyis'!F19</f>
        <v>0</v>
      </c>
      <c r="F7" s="61"/>
      <c r="G7" s="167"/>
    </row>
    <row r="8" spans="2:13" x14ac:dyDescent="0.2">
      <c r="B8" s="161" t="s">
        <v>932</v>
      </c>
      <c r="C8" s="162"/>
      <c r="D8" s="165">
        <f>'1.1 PPC Analyis'!E20</f>
        <v>0</v>
      </c>
      <c r="E8" s="165">
        <f>'1.1 PPC Analyis'!F20</f>
        <v>0</v>
      </c>
      <c r="F8" s="166"/>
      <c r="G8" s="168"/>
    </row>
    <row r="9" spans="2:13" x14ac:dyDescent="0.2">
      <c r="B9" s="163" t="s">
        <v>935</v>
      </c>
      <c r="C9" s="164"/>
      <c r="D9" s="61">
        <f>'1.1 PPC Analyis'!E21</f>
        <v>0</v>
      </c>
      <c r="E9" s="61">
        <f>'1.1 PPC Analyis'!F21</f>
        <v>0</v>
      </c>
      <c r="F9" s="61"/>
      <c r="G9" s="167"/>
    </row>
    <row r="10" spans="2:13" x14ac:dyDescent="0.2">
      <c r="B10" s="161" t="s">
        <v>933</v>
      </c>
      <c r="C10" s="162"/>
      <c r="D10" s="165">
        <f>'1.1 PPC Analyis'!E48</f>
        <v>0</v>
      </c>
      <c r="E10" s="165">
        <f>'1.1 PPC Analyis'!F48</f>
        <v>0</v>
      </c>
      <c r="F10" s="166"/>
      <c r="G10" s="168"/>
    </row>
    <row r="11" spans="2:13" x14ac:dyDescent="0.2">
      <c r="B11" s="163" t="s">
        <v>934</v>
      </c>
      <c r="C11" s="164"/>
      <c r="D11" s="61">
        <f>'1.2 Customer Analysis'!E14</f>
        <v>0</v>
      </c>
      <c r="E11" s="61">
        <f>'1.2 Customer Analysis'!F14</f>
        <v>0</v>
      </c>
      <c r="F11" s="61"/>
      <c r="G11" s="167"/>
    </row>
    <row r="12" spans="2:13" x14ac:dyDescent="0.2">
      <c r="B12" s="161" t="s">
        <v>936</v>
      </c>
      <c r="C12" s="162"/>
      <c r="D12" s="165">
        <f>'1.2 Customer Analysis'!E11</f>
        <v>0</v>
      </c>
      <c r="E12" s="165">
        <f>'1.2 Customer Analysis'!F11</f>
        <v>0</v>
      </c>
      <c r="F12" s="166"/>
      <c r="G12" s="168"/>
    </row>
    <row r="13" spans="2:13" x14ac:dyDescent="0.2">
      <c r="B13" s="163" t="s">
        <v>937</v>
      </c>
      <c r="C13" s="164"/>
      <c r="D13" s="24">
        <f>'1.2 Customer Analysis'!E38</f>
        <v>0</v>
      </c>
      <c r="E13" s="24">
        <f>'1.2 Customer Analysis'!F38</f>
        <v>0</v>
      </c>
      <c r="F13" s="61"/>
      <c r="G13" s="167"/>
    </row>
    <row r="14" spans="2:13" x14ac:dyDescent="0.2">
      <c r="B14" s="161" t="s">
        <v>938</v>
      </c>
      <c r="C14" s="162"/>
      <c r="D14" s="166">
        <f>'1.3 NPS'!E21</f>
        <v>0</v>
      </c>
      <c r="E14" s="166">
        <f>'1.3 NPS'!F21</f>
        <v>0</v>
      </c>
      <c r="F14" s="166"/>
      <c r="G14" s="168"/>
    </row>
    <row r="15" spans="2:13" x14ac:dyDescent="0.2">
      <c r="B15" s="163" t="s">
        <v>939</v>
      </c>
      <c r="C15" s="164"/>
      <c r="D15" s="61">
        <f>'1.4 Survey Analysis'!E29</f>
        <v>0</v>
      </c>
      <c r="E15" s="61">
        <f>'1.4 Survey Analysis'!F29</f>
        <v>0</v>
      </c>
      <c r="F15" s="61"/>
      <c r="G15" s="167"/>
    </row>
    <row r="17" spans="2:8" ht="19" x14ac:dyDescent="0.25">
      <c r="B17" s="188" t="s">
        <v>945</v>
      </c>
    </row>
    <row r="19" spans="2:8" x14ac:dyDescent="0.2">
      <c r="B19" s="185" t="s">
        <v>942</v>
      </c>
      <c r="C19" s="185" t="s">
        <v>943</v>
      </c>
      <c r="D19" s="186"/>
      <c r="E19" s="185" t="s">
        <v>944</v>
      </c>
      <c r="F19" s="186"/>
      <c r="G19" s="185" t="s">
        <v>946</v>
      </c>
      <c r="H19" s="187"/>
    </row>
    <row r="20" spans="2:8" ht="35" customHeight="1" x14ac:dyDescent="0.2">
      <c r="B20" s="169" t="str">
        <f>'1.5 Projections'!B24</f>
        <v>AdWords</v>
      </c>
      <c r="C20" s="170"/>
      <c r="E20" s="172"/>
      <c r="F20" s="59"/>
    </row>
    <row r="21" spans="2:8" ht="35" customHeight="1" x14ac:dyDescent="0.2">
      <c r="B21" s="169" t="str">
        <f>'1.5 Projections'!B25</f>
        <v>Facebook Ad</v>
      </c>
      <c r="C21" s="170"/>
      <c r="E21" s="172"/>
      <c r="F21" s="59"/>
      <c r="G21" s="172"/>
      <c r="H21" s="59"/>
    </row>
    <row r="22" spans="2:8" ht="35" customHeight="1" x14ac:dyDescent="0.2">
      <c r="B22" s="169" t="str">
        <f>'1.5 Projections'!B26</f>
        <v>LinkedIn Ad</v>
      </c>
      <c r="C22" s="170"/>
      <c r="G22" s="172"/>
      <c r="H22" s="59"/>
    </row>
    <row r="23" spans="2:8" ht="35" customHeight="1" x14ac:dyDescent="0.2">
      <c r="B23" s="169" t="str">
        <f>'1.5 Projections'!B27</f>
        <v>Spotify Ad</v>
      </c>
      <c r="C23" s="170"/>
    </row>
    <row r="24" spans="2:8" ht="15" customHeight="1" x14ac:dyDescent="0.2">
      <c r="B24" s="169"/>
    </row>
    <row r="25" spans="2:8" ht="15" customHeight="1" x14ac:dyDescent="0.25">
      <c r="B25" s="188" t="s">
        <v>947</v>
      </c>
    </row>
    <row r="26" spans="2:8" ht="32" x14ac:dyDescent="0.2">
      <c r="D26" s="70" t="s">
        <v>872</v>
      </c>
      <c r="E26" s="70" t="s">
        <v>950</v>
      </c>
      <c r="F26" s="70" t="s">
        <v>951</v>
      </c>
      <c r="G26" s="70" t="s">
        <v>889</v>
      </c>
    </row>
    <row r="27" spans="2:8" x14ac:dyDescent="0.2">
      <c r="B27" s="159" t="s">
        <v>948</v>
      </c>
      <c r="C27" s="160"/>
      <c r="D27" s="131">
        <f>'1.5 Projections'!C135</f>
        <v>0</v>
      </c>
      <c r="E27" s="173">
        <f>'1.5 Projections'!D135</f>
        <v>0</v>
      </c>
      <c r="F27" s="173">
        <f>'1.5 Projections'!E135</f>
        <v>0</v>
      </c>
      <c r="G27" s="174">
        <f>'1.5 Projections'!F135</f>
        <v>0</v>
      </c>
    </row>
    <row r="28" spans="2:8" x14ac:dyDescent="0.2">
      <c r="B28" s="159" t="s">
        <v>949</v>
      </c>
      <c r="C28" s="160"/>
      <c r="D28" s="131">
        <f>'1.5 Projections'!C136</f>
        <v>0</v>
      </c>
      <c r="E28" s="173">
        <f>'1.5 Projections'!D136</f>
        <v>0</v>
      </c>
      <c r="F28" s="173">
        <f>'1.5 Projections'!E136</f>
        <v>0</v>
      </c>
      <c r="G28" s="174">
        <f>'1.5 Projections'!F136</f>
        <v>0</v>
      </c>
    </row>
    <row r="29" spans="2:8" x14ac:dyDescent="0.2">
      <c r="B29" s="176" t="s">
        <v>952</v>
      </c>
      <c r="C29" s="177"/>
      <c r="D29" s="178">
        <f>D28-D27</f>
        <v>0</v>
      </c>
      <c r="E29" s="179">
        <f>E28-E27</f>
        <v>0</v>
      </c>
      <c r="F29" s="179">
        <f>F28-F27</f>
        <v>0</v>
      </c>
      <c r="G29" s="180">
        <f>G28-G27</f>
        <v>0</v>
      </c>
    </row>
    <row r="30" spans="2:8" x14ac:dyDescent="0.2">
      <c r="B30" s="181" t="s">
        <v>953</v>
      </c>
      <c r="C30" s="182"/>
      <c r="D30" s="183"/>
      <c r="E30" s="184" t="e">
        <f>E29/E27</f>
        <v>#DIV/0!</v>
      </c>
      <c r="F30" s="184" t="e">
        <f>F29/F27</f>
        <v>#DIV/0!</v>
      </c>
      <c r="G30" s="184" t="e">
        <f>G29/G27</f>
        <v>#DIV/0!</v>
      </c>
    </row>
    <row r="32" spans="2:8" x14ac:dyDescent="0.2">
      <c r="B32" s="175" t="str">
        <f>'1.5 Projections'!B138</f>
        <v>ROI: Facebook follower growth vs. LinkedIn follower growth</v>
      </c>
    </row>
    <row r="33" spans="2:8" x14ac:dyDescent="0.2">
      <c r="B33" s="136"/>
      <c r="C33" s="136"/>
      <c r="D33" s="139" t="str">
        <f>'1.5 Projections'!D139</f>
        <v>Facebook Follower Growth</v>
      </c>
      <c r="E33" s="137"/>
      <c r="F33" s="137"/>
      <c r="G33" s="137"/>
      <c r="H33" s="137"/>
    </row>
    <row r="34" spans="2:8" x14ac:dyDescent="0.2">
      <c r="B34" s="138"/>
      <c r="C34" s="135">
        <f>'1.5 Projections'!C140</f>
        <v>0</v>
      </c>
      <c r="D34" s="134">
        <f>'1.5 Projections'!D140</f>
        <v>3.9999999999999994E-2</v>
      </c>
      <c r="E34" s="134">
        <f>'1.5 Projections'!E140</f>
        <v>0.06</v>
      </c>
      <c r="F34" s="134">
        <f>'1.5 Projections'!F140</f>
        <v>0.08</v>
      </c>
      <c r="G34" s="134">
        <f>'1.5 Projections'!G140</f>
        <v>0.1</v>
      </c>
      <c r="H34" s="134">
        <f>'1.5 Projections'!H140</f>
        <v>0.12000000000000001</v>
      </c>
    </row>
    <row r="35" spans="2:8" x14ac:dyDescent="0.2">
      <c r="B35" s="189" t="str">
        <f>'1.5 Projections'!B141</f>
        <v>LinkedIn Follower Growth</v>
      </c>
      <c r="C35" s="134">
        <f>'1.5 Projections'!C141</f>
        <v>3.9999999999999994E-2</v>
      </c>
      <c r="D35" s="133">
        <f>'1.5 Projections'!D141</f>
        <v>0</v>
      </c>
      <c r="E35" s="133">
        <f>'1.5 Projections'!E141</f>
        <v>0</v>
      </c>
      <c r="F35" s="133">
        <f>'1.5 Projections'!F141</f>
        <v>0</v>
      </c>
      <c r="G35" s="133">
        <f>'1.5 Projections'!G141</f>
        <v>0</v>
      </c>
      <c r="H35" s="133">
        <f>'1.5 Projections'!H141</f>
        <v>0</v>
      </c>
    </row>
    <row r="36" spans="2:8" x14ac:dyDescent="0.2">
      <c r="B36" s="189"/>
      <c r="C36" s="134">
        <f>'1.5 Projections'!C142</f>
        <v>0.06</v>
      </c>
      <c r="D36" s="133">
        <f>'1.5 Projections'!D142</f>
        <v>0</v>
      </c>
      <c r="E36" s="133">
        <f>'1.5 Projections'!E142</f>
        <v>0</v>
      </c>
      <c r="F36" s="133">
        <f>'1.5 Projections'!F142</f>
        <v>0</v>
      </c>
      <c r="G36" s="133">
        <f>'1.5 Projections'!G142</f>
        <v>0</v>
      </c>
      <c r="H36" s="133">
        <f>'1.5 Projections'!H142</f>
        <v>0</v>
      </c>
    </row>
    <row r="37" spans="2:8" x14ac:dyDescent="0.2">
      <c r="B37" s="189"/>
      <c r="C37" s="134">
        <f>'1.5 Projections'!C143</f>
        <v>0.08</v>
      </c>
      <c r="D37" s="133">
        <f>'1.5 Projections'!D143</f>
        <v>0</v>
      </c>
      <c r="E37" s="133">
        <f>'1.5 Projections'!E143</f>
        <v>0</v>
      </c>
      <c r="F37" s="133">
        <f>'1.5 Projections'!F143</f>
        <v>0</v>
      </c>
      <c r="G37" s="133">
        <f>'1.5 Projections'!G143</f>
        <v>0</v>
      </c>
      <c r="H37" s="133">
        <f>'1.5 Projections'!H143</f>
        <v>0</v>
      </c>
    </row>
    <row r="38" spans="2:8" x14ac:dyDescent="0.2">
      <c r="B38" s="189"/>
      <c r="C38" s="134">
        <f>'1.5 Projections'!C144</f>
        <v>0.1</v>
      </c>
      <c r="D38" s="133">
        <f>'1.5 Projections'!D144</f>
        <v>0</v>
      </c>
      <c r="E38" s="133">
        <f>'1.5 Projections'!E144</f>
        <v>0</v>
      </c>
      <c r="F38" s="133">
        <f>'1.5 Projections'!F144</f>
        <v>0</v>
      </c>
      <c r="G38" s="133">
        <f>'1.5 Projections'!G144</f>
        <v>0</v>
      </c>
      <c r="H38" s="133">
        <f>'1.5 Projections'!H144</f>
        <v>0</v>
      </c>
    </row>
    <row r="39" spans="2:8" x14ac:dyDescent="0.2">
      <c r="B39" s="189"/>
      <c r="C39" s="134">
        <f>'1.5 Projections'!C145</f>
        <v>0.12000000000000001</v>
      </c>
      <c r="D39" s="133">
        <f>'1.5 Projections'!D145</f>
        <v>0</v>
      </c>
      <c r="E39" s="133">
        <f>'1.5 Projections'!E145</f>
        <v>0</v>
      </c>
      <c r="F39" s="133">
        <f>'1.5 Projections'!F145</f>
        <v>0</v>
      </c>
      <c r="G39" s="133">
        <f>'1.5 Projections'!G145</f>
        <v>0</v>
      </c>
      <c r="H39" s="133">
        <f>'1.5 Projections'!H145</f>
        <v>0</v>
      </c>
    </row>
    <row r="41" spans="2:8" x14ac:dyDescent="0.2">
      <c r="B41" s="175" t="str">
        <f>'1.5 Projections'!B147</f>
        <v>ROI: Facebook conversion increase vs. AdWords conversion increase</v>
      </c>
    </row>
    <row r="42" spans="2:8" x14ac:dyDescent="0.2">
      <c r="B42" s="136"/>
      <c r="C42" s="136"/>
      <c r="D42" s="139" t="str">
        <f>'1.5 Projections'!D148</f>
        <v>Facebook Conversion Increase</v>
      </c>
      <c r="E42" s="137"/>
      <c r="F42" s="137"/>
      <c r="G42" s="137"/>
      <c r="H42" s="137"/>
    </row>
    <row r="43" spans="2:8" x14ac:dyDescent="0.2">
      <c r="B43" s="138"/>
      <c r="C43" s="135">
        <f>'1.5 Projections'!C149</f>
        <v>0</v>
      </c>
      <c r="D43" s="134">
        <f>'1.5 Projections'!D149</f>
        <v>9.9999999999999967E-3</v>
      </c>
      <c r="E43" s="134">
        <f>'1.5 Projections'!E149</f>
        <v>1.9999999999999997E-2</v>
      </c>
      <c r="F43" s="134">
        <f>'1.5 Projections'!F149</f>
        <v>0.03</v>
      </c>
      <c r="G43" s="134">
        <f>'1.5 Projections'!G149</f>
        <v>0.04</v>
      </c>
      <c r="H43" s="134">
        <f>'1.5 Projections'!H149</f>
        <v>0.05</v>
      </c>
    </row>
    <row r="44" spans="2:8" x14ac:dyDescent="0.2">
      <c r="B44" s="189" t="str">
        <f>'1.5 Projections'!B150</f>
        <v>AdWords Conversion Increase</v>
      </c>
      <c r="C44" s="134">
        <f>'1.5 Projections'!C150</f>
        <v>0</v>
      </c>
      <c r="D44" s="133">
        <f>'1.5 Projections'!D150</f>
        <v>0</v>
      </c>
      <c r="E44" s="133">
        <f>'1.5 Projections'!E150</f>
        <v>0</v>
      </c>
      <c r="F44" s="133">
        <f>'1.5 Projections'!F150</f>
        <v>0</v>
      </c>
      <c r="G44" s="133">
        <f>'1.5 Projections'!G150</f>
        <v>0</v>
      </c>
      <c r="H44" s="133">
        <f>'1.5 Projections'!H150</f>
        <v>0</v>
      </c>
    </row>
    <row r="45" spans="2:8" x14ac:dyDescent="0.2">
      <c r="B45" s="189"/>
      <c r="C45" s="134">
        <f>'1.5 Projections'!C151</f>
        <v>0.01</v>
      </c>
      <c r="D45" s="133">
        <f>'1.5 Projections'!D151</f>
        <v>0</v>
      </c>
      <c r="E45" s="133">
        <f>'1.5 Projections'!E151</f>
        <v>0</v>
      </c>
      <c r="F45" s="133">
        <f>'1.5 Projections'!F151</f>
        <v>0</v>
      </c>
      <c r="G45" s="133">
        <f>'1.5 Projections'!G151</f>
        <v>0</v>
      </c>
      <c r="H45" s="133">
        <f>'1.5 Projections'!H151</f>
        <v>0</v>
      </c>
    </row>
    <row r="46" spans="2:8" x14ac:dyDescent="0.2">
      <c r="B46" s="189"/>
      <c r="C46" s="134">
        <f>'1.5 Projections'!C152</f>
        <v>0.02</v>
      </c>
      <c r="D46" s="133">
        <f>'1.5 Projections'!D152</f>
        <v>0</v>
      </c>
      <c r="E46" s="133">
        <f>'1.5 Projections'!E152</f>
        <v>0</v>
      </c>
      <c r="F46" s="133">
        <f>'1.5 Projections'!F152</f>
        <v>0</v>
      </c>
      <c r="G46" s="133">
        <f>'1.5 Projections'!G152</f>
        <v>0</v>
      </c>
      <c r="H46" s="133">
        <f>'1.5 Projections'!H152</f>
        <v>0</v>
      </c>
    </row>
    <row r="47" spans="2:8" x14ac:dyDescent="0.2">
      <c r="B47" s="189"/>
      <c r="C47" s="134">
        <f>'1.5 Projections'!C153</f>
        <v>0.03</v>
      </c>
      <c r="D47" s="133">
        <f>'1.5 Projections'!D153</f>
        <v>0</v>
      </c>
      <c r="E47" s="133">
        <f>'1.5 Projections'!E153</f>
        <v>0</v>
      </c>
      <c r="F47" s="133">
        <f>'1.5 Projections'!F153</f>
        <v>0</v>
      </c>
      <c r="G47" s="133">
        <f>'1.5 Projections'!G153</f>
        <v>0</v>
      </c>
      <c r="H47" s="133">
        <f>'1.5 Projections'!H153</f>
        <v>0</v>
      </c>
    </row>
    <row r="48" spans="2:8" x14ac:dyDescent="0.2">
      <c r="B48" s="189"/>
      <c r="C48" s="134">
        <f>'1.5 Projections'!C154</f>
        <v>0.04</v>
      </c>
      <c r="D48" s="133">
        <f>'1.5 Projections'!D154</f>
        <v>0</v>
      </c>
      <c r="E48" s="133">
        <f>'1.5 Projections'!E154</f>
        <v>0</v>
      </c>
      <c r="F48" s="133">
        <f>'1.5 Projections'!F154</f>
        <v>0</v>
      </c>
      <c r="G48" s="133">
        <f>'1.5 Projections'!G154</f>
        <v>0</v>
      </c>
      <c r="H48" s="133">
        <f>'1.5 Projections'!H154</f>
        <v>0</v>
      </c>
    </row>
  </sheetData>
  <mergeCells count="2">
    <mergeCell ref="B35:B39"/>
    <mergeCell ref="B44:B48"/>
  </mergeCells>
  <conditionalFormatting sqref="G7:G15">
    <cfRule type="cellIs" dxfId="0" priority="1" operator="equal">
      <formula>"Facebook"</formula>
    </cfRule>
  </conditionalFormatting>
  <pageMargins left="0.7" right="0.7" top="0.75" bottom="0.75" header="0.3" footer="0.3"/>
  <pageSetup scale="62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�� 
</file>

<file path=customXml/item4.xml><?xml version="1.0" encoding="utf-8"?>
<ArgusExcelOBA xmlns="urn:argussoftware-com.Argus.ExcelOBA"/>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DC4926C2-033D-4A30-A5D6-4C25C7B549B3}">
  <ds:schemaRefs/>
</ds:datastoreItem>
</file>

<file path=customXml/itemProps2.xml><?xml version="1.0" encoding="utf-8"?>
<ds:datastoreItem xmlns:ds="http://schemas.openxmlformats.org/officeDocument/2006/customXml" ds:itemID="{C998E962-7B9A-4164-88F7-49970579AE44}">
  <ds:schemaRefs/>
</ds:datastoreItem>
</file>

<file path=customXml/itemProps3.xml><?xml version="1.0" encoding="utf-8"?>
<ds:datastoreItem xmlns:ds="http://schemas.openxmlformats.org/officeDocument/2006/customXml" ds:itemID="{698F397A-02CD-4268-8163-69CA125AFBA3}">
  <ds:schemaRefs/>
</ds:datastoreItem>
</file>

<file path=customXml/itemProps4.xml><?xml version="1.0" encoding="utf-8"?>
<ds:datastoreItem xmlns:ds="http://schemas.openxmlformats.org/officeDocument/2006/customXml" ds:itemID="{2146E3FB-3309-45F0-B296-7C788E5A9443}">
  <ds:schemaRefs>
    <ds:schemaRef ds:uri="urn:argussoftware-com.Argus.ExcelOBA"/>
  </ds:schemaRefs>
</ds:datastoreItem>
</file>

<file path=customXml/itemProps5.xml><?xml version="1.0" encoding="utf-8"?>
<ds:datastoreItem xmlns:ds="http://schemas.openxmlformats.org/officeDocument/2006/customXml" ds:itemID="{5086BEC4-224D-47D6-9584-1AACB2377E3E}">
  <ds:schemaRefs/>
</ds:datastoreItem>
</file>

<file path=customXml/itemProps6.xml><?xml version="1.0" encoding="utf-8"?>
<ds:datastoreItem xmlns:ds="http://schemas.openxmlformats.org/officeDocument/2006/customXml" ds:itemID="{6BEABE67-B231-435E-BD28-A465AED9F9C9}">
  <ds:schemaRefs/>
</ds:datastoreItem>
</file>

<file path=customXml/itemProps7.xml><?xml version="1.0" encoding="utf-8"?>
<ds:datastoreItem xmlns:ds="http://schemas.openxmlformats.org/officeDocument/2006/customXml" ds:itemID="{9F9ECEBC-C05F-4AB8-A8C9-38BC8A1590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PPC Data</vt:lpstr>
      <vt:lpstr>1.1 PPC Analyis</vt:lpstr>
      <vt:lpstr>Lead Data</vt:lpstr>
      <vt:lpstr>Survey Data</vt:lpstr>
      <vt:lpstr>1.2 Customer Analysis</vt:lpstr>
      <vt:lpstr>1.3 NPS</vt:lpstr>
      <vt:lpstr>1.4 Survey Analysis</vt:lpstr>
      <vt:lpstr>1.5 Ad Channel Data</vt:lpstr>
      <vt:lpstr>1.5 Projections</vt:lpstr>
      <vt:lpstr>Dashboard</vt:lpstr>
      <vt:lpstr>Age</vt:lpstr>
      <vt:lpstr>AW_Campaign</vt:lpstr>
      <vt:lpstr>AW_Clicks</vt:lpstr>
      <vt:lpstr>AW_Conversions</vt:lpstr>
      <vt:lpstr>AW_Cost</vt:lpstr>
      <vt:lpstr>AW_Impressions</vt:lpstr>
      <vt:lpstr>FB_Campaign</vt:lpstr>
      <vt:lpstr>FB_Clicks</vt:lpstr>
      <vt:lpstr>FB_Conversions</vt:lpstr>
      <vt:lpstr>FB_Cost</vt:lpstr>
      <vt:lpstr>FB_Impressions</vt:lpstr>
      <vt:lpstr>Lead_Source</vt:lpstr>
      <vt:lpstr>Promoter_Score</vt:lpstr>
      <vt:lpstr>Purchases</vt:lpstr>
      <vt:lpstr>Scenario</vt:lpstr>
      <vt:lpstr>Survey_Lead_Source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ncoughran@winent.com</dc:creator>
  <cp:lastModifiedBy>Microsoft Office User</cp:lastModifiedBy>
  <cp:lastPrinted>2017-07-06T16:54:49Z</cp:lastPrinted>
  <dcterms:created xsi:type="dcterms:W3CDTF">2017-01-09T21:01:28Z</dcterms:created>
  <dcterms:modified xsi:type="dcterms:W3CDTF">2023-08-20T23:01:55Z</dcterms:modified>
</cp:coreProperties>
</file>